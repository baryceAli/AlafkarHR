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141aabca5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ecf0fcae0bf4464"/>
    <x:sheet xmlns:r="http://schemas.openxmlformats.org/officeDocument/2006/relationships" name="Results" sheetId="2" r:id="R285ee3adc5bc4be0"/>
    <x:sheet xmlns:r="http://schemas.openxmlformats.org/officeDocument/2006/relationships" name="Test Cases" sheetId="3" r:id="R283e1051dbde4d79"/>
    <x:sheet xmlns:r="http://schemas.openxmlformats.org/officeDocument/2006/relationships" name="Preparation" sheetId="4" r:id="R10077d4aaf4c4e04"/>
    <x:sheet xmlns:r="http://schemas.openxmlformats.org/officeDocument/2006/relationships" name="Issues" sheetId="5" r:id="R9a1c25327c6f4cee"/>
    <x:sheet xmlns:r="http://schemas.openxmlformats.org/officeDocument/2006/relationships" name="Sign-off" sheetId="6" r:id="R4d8b53013036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5"/>
      <x:color rgb="FF243746"/>
      <x:name val="Arial"/>
    </x:font>
    <x:font>
      <x:sz val="11"/>
      <x:color rgb="FF243746"/>
      <x:name val="Arial"/>
    </x:font>
    <x:font>
      <x:b/>
      <x:sz val="11"/>
      <x:color rgb="FFFFFFFF"/>
      <x:name val="Arial"/>
    </x:font>
    <x:font>
      <x:b/>
      <x:sz val="16"/>
      <x:color rgb="FF243746"/>
      <x:name val="Arial"/>
    </x:font>
    <x:font>
      <x:b/>
      <x:sz val="11"/>
      <x:color rgb="FF2437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2CC"/>
      </x:patternFill>
    </x:fill>
    <x:fill>
      <x:patternFill patternType="solid">
        <x:fgColor rgb="FFE7EEF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EFDA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0c510edb8453b" /><Relationship Type="http://schemas.openxmlformats.org/officeDocument/2006/relationships/theme" Target="/xl/theme/theme1.xml" Id="R46eb8803b2544e45" /><Relationship Type="http://schemas.openxmlformats.org/officeDocument/2006/relationships/sharedStrings" Target="/xl/sharedStrings.xml" Id="R7aa180a1dab8412a" /><Relationship Type="http://schemas.openxmlformats.org/officeDocument/2006/relationships/worksheet" Target="/xl/worksheets/sheet1.xml" Id="R7ecf0fcae0bf4464" /><Relationship Type="http://schemas.openxmlformats.org/officeDocument/2006/relationships/worksheet" Target="/xl/worksheets/sheet2.xml" Id="R285ee3adc5bc4be0" /><Relationship Type="http://schemas.openxmlformats.org/officeDocument/2006/relationships/worksheet" Target="/xl/worksheets/sheet3.xml" Id="R283e1051dbde4d79" /><Relationship Type="http://schemas.openxmlformats.org/officeDocument/2006/relationships/worksheet" Target="/xl/worksheets/sheet4.xml" Id="R10077d4aaf4c4e04" /><Relationship Type="http://schemas.openxmlformats.org/officeDocument/2006/relationships/worksheet" Target="/xl/worksheets/sheet5.xml" Id="R9a1c25327c6f4cee" /><Relationship Type="http://schemas.openxmlformats.org/officeDocument/2006/relationships/worksheet" Target="/xl/worksheets/sheet6.xml" Id="R4d8b530130364661" /></Relationships>
</file>

<file path=xl/tables/table1.xml><?xml version="1.0" encoding="utf-8"?>
<x:table xmlns:x="http://schemas.openxmlformats.org/spreadsheetml/2006/main" id="1" name="HR_Results" displayName="HR_Results" ref="A5:O81" headerRowCount="1" totalsRowCount="0" totalsRowShown="0">
  <x:tableColumns count="15">
    <x:tableColumn id="1" name="Test ID"/>
    <x:tableColumn id="2" name="Workstream"/>
    <x:tableColumn id="3" name="Priority"/>
    <x:tableColumn id="4" name="Assigned tester"/>
    <x:tableColumn id="5" name="Test role / scope"/>
    <x:tableColumn id="6" name="Status"/>
    <x:tableColumn id="7" name="Actual result"/>
    <x:tableColumn id="8" name="Evidence location / IDs"/>
    <x:tableColumn id="9" name="Issue / gap IDs"/>
    <x:tableColumn id="10" name="Retest result / evidence"/>
    <x:tableColumn id="11" name="Executed date"/>
    <x:tableColumn id="12" name="Build / cycle"/>
    <x:tableColumn id="13" name="N/A owner / reason"/>
    <x:tableColumn id="14" name="Reviewer"/>
    <x:tableColumn id="15" name="Evidence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R_Test_Cases" displayName="HR_Test_Cases" ref="A5:K81" headerRowCount="1" totalsRowCount="0" totalsRowShown="0">
  <x:tableColumns count="11">
    <x:tableColumn id="1" name="Test ID"/>
    <x:tableColumn id="2" name="Parent use case"/>
    <x:tableColumn id="3" name="Workstream / owner"/>
    <x:tableColumn id="4" name="Phase"/>
    <x:tableColumn id="5" name="Priority"/>
    <x:tableColumn id="6" name="Scenario"/>
    <x:tableColumn id="7" name="Entry routes"/>
    <x:tableColumn id="8" name="Required fixture IDs"/>
    <x:tableColumn id="9" name="Steps — all listed variants"/>
    <x:tableColumn id="10" name="Acceptance criteria"/>
    <x:tableColumn id="11" name="Evidence requir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R_Preparation" displayName="HR_Preparation" ref="A5:H24" headerRowCount="1" totalsRowCount="0" totalsRowShown="0">
  <x:tableColumns count="8">
    <x:tableColumn id="1" name="Fixture ID"/>
    <x:tableColumn id="2" name="Requirement"/>
    <x:tableColumn id="3" name="Owner"/>
    <x:tableColumn id="4" name="Required content"/>
    <x:tableColumn id="5" name="Status"/>
    <x:tableColumn id="6" name="Actual IDs / approved reference / evidence"/>
    <x:tableColumn id="7" name="Approved by / date"/>
    <x:tableColumn id="8" name="Ready with evidence (1/0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R_Issues" displayName="HR_Issues" ref="A5:M45" headerRowCount="1" totalsRowCount="0" totalsRowShown="0">
  <x:tableColumns count="13">
    <x:tableColumn id="1" name="Issue ID"/>
    <x:tableColumn id="2" name="Test IDs"/>
    <x:tableColumn id="3" name="Type"/>
    <x:tableColumn id="4" name="Severity"/>
    <x:tableColumn id="5" name="Summary / reproduction"/>
    <x:tableColumn id="6" name="Expected / actual"/>
    <x:tableColumn id="7" name="Evidence"/>
    <x:tableColumn id="8" name="Owner"/>
    <x:tableColumn id="9" name="Status"/>
    <x:tableColumn id="10" name="Workaround / acceptance"/>
    <x:tableColumn id="11" name="Target date"/>
    <x:tableColumn id="12" name="Retest evidence / build"/>
    <x:tableColumn id="13" name="Minor still open (1/0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R_Signoff" displayName="HR_Signoff" ref="A5:I15" headerRowCount="1" totalsRowCount="0" totalsRowShown="0">
  <x:tableColumns count="9">
    <x:tableColumn id="1" name="Owner role"/>
    <x:tableColumn id="2" name="Area"/>
    <x:tableColumn id="3" name="Review requirement"/>
    <x:tableColumn id="4" name="Decision"/>
    <x:tableColumn id="5" name="Named approver"/>
    <x:tableColumn id="6" name="Date"/>
    <x:tableColumn id="7" name="Evidence / accepted minor issue IDs"/>
    <x:tableColumn id="8" name="Comments"/>
    <x:tableColumn id="9" name="Approved with evidence (1/0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ac62f609ab4b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54fecfa94b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e6ec56f72341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64a2ec858142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81f44732f24b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11" t="str">
        <x:v>Alafkar ERP | HR UAT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76 test records • 36 use cases • 4 journeys • Initial state: Not run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14" t="str">
        <x:v>Workstream</x:v>
      </x:c>
      <x:c r="B6" s="14" t="str">
        <x:v>Total</x:v>
      </x:c>
      <x:c r="C6" s="14" t="str">
        <x:v>Not run</x:v>
      </x:c>
      <x:c r="D6" s="14" t="str">
        <x:v>Pass</x:v>
      </x:c>
      <x:c r="E6" s="14" t="str">
        <x:v>Fail</x:v>
      </x:c>
      <x:c r="F6" s="14" t="str">
        <x:v>Blocked</x:v>
      </x:c>
      <x:c r="G6" s="14" t="str">
        <x:v>N/A</x:v>
      </x:c>
      <x:c r="H6" s="14" t="str">
        <x:v>P0 not passed</x:v>
      </x:c>
      <x:c r="I6" s="14" t="str">
        <x:v>Recorded / reviewed</x:v>
      </x:c>
    </x:row>
    <x:row r="7" ht="42" customHeight="1">
      <x:c r="A7" s="3" t="str">
        <x:v>Personnel and Employee Administration</x:v>
      </x:c>
      <x:c r="B7" s="2" t="n">
        <x:f>COUNTIFS('Results'!$B$6:$B$81,$A7)</x:f>
        <x:v>10</x:v>
      </x:c>
      <x:c r="C7" s="2" t="n">
        <x:f>COUNTIFS('Results'!$B$6:$B$81,$A7,'Results'!$F$6:$F$81,"Not run")</x:f>
        <x:v>10</x:v>
      </x:c>
      <x:c r="D7" s="2" t="n">
        <x:f>COUNTIFS('Results'!$B$6:$B$81,$A7,'Results'!$F$6:$F$81,"Pass")</x:f>
        <x:v>0</x:v>
      </x:c>
      <x:c r="E7" s="2" t="n">
        <x:f>COUNTIFS('Results'!$B$6:$B$81,$A7,'Results'!$F$6:$F$81,"Fail")</x:f>
        <x:v>0</x:v>
      </x:c>
      <x:c r="F7" s="2" t="n">
        <x:f>COUNTIFS('Results'!$B$6:$B$81,$A7,'Results'!$F$6:$F$81,"Blocked")</x:f>
        <x:v>0</x:v>
      </x:c>
      <x:c r="G7" s="2" t="n">
        <x:f>COUNTIFS('Results'!$B$6:$B$81,$A7,'Results'!$F$6:$F$81,"Not applicable")</x:f>
        <x:v>0</x:v>
      </x:c>
      <x:c r="H7" s="2" t="n">
        <x:f>COUNTIFS('Results'!$B$6:$B$81,$A7,'Results'!$C$6:$C$81,"P0",'Results'!$F$6:$F$81,"&lt;&gt;Pass")</x:f>
        <x:v>4</x:v>
      </x:c>
      <x:c r="I7" s="2" t="n">
        <x:f>COUNTIFS('Results'!$B$6:$B$81,$A7,'Results'!$O$6:$O$81,"Recorded")+COUNTIFS('Results'!$B$6:$B$81,$A7,'Results'!$O$6:$O$81,"Review disposition")</x:f>
        <x:v>0</x:v>
      </x:c>
    </x:row>
    <x:row r="8" ht="42" customHeight="1">
      <x:c r="A8" s="3" t="str">
        <x:v>Recruitment and Hiring</x:v>
      </x:c>
      <x:c r="B8" s="2" t="n">
        <x:f>COUNTIFS('Results'!$B$6:$B$81,$A8)</x:f>
        <x:v>8</x:v>
      </x:c>
      <x:c r="C8" s="2" t="n">
        <x:f>COUNTIFS('Results'!$B$6:$B$81,$A8,'Results'!$F$6:$F$81,"Not run")</x:f>
        <x:v>8</x:v>
      </x:c>
      <x:c r="D8" s="2" t="n">
        <x:f>COUNTIFS('Results'!$B$6:$B$81,$A8,'Results'!$F$6:$F$81,"Pass")</x:f>
        <x:v>0</x:v>
      </x:c>
      <x:c r="E8" s="2" t="n">
        <x:f>COUNTIFS('Results'!$B$6:$B$81,$A8,'Results'!$F$6:$F$81,"Fail")</x:f>
        <x:v>0</x:v>
      </x:c>
      <x:c r="F8" s="2" t="n">
        <x:f>COUNTIFS('Results'!$B$6:$B$81,$A8,'Results'!$F$6:$F$81,"Blocked")</x:f>
        <x:v>0</x:v>
      </x:c>
      <x:c r="G8" s="2" t="n">
        <x:f>COUNTIFS('Results'!$B$6:$B$81,$A8,'Results'!$F$6:$F$81,"Not applicable")</x:f>
        <x:v>0</x:v>
      </x:c>
      <x:c r="H8" s="2" t="n">
        <x:f>COUNTIFS('Results'!$B$6:$B$81,$A8,'Results'!$C$6:$C$81,"P0",'Results'!$F$6:$F$81,"&lt;&gt;Pass")</x:f>
        <x:v>2</x:v>
      </x:c>
      <x:c r="I8" s="2" t="n">
        <x:f>COUNTIFS('Results'!$B$6:$B$81,$A8,'Results'!$O$6:$O$81,"Recorded")+COUNTIFS('Results'!$B$6:$B$81,$A8,'Results'!$O$6:$O$81,"Review disposition")</x:f>
        <x:v>0</x:v>
      </x:c>
    </x:row>
    <x:row r="9" ht="42" customHeight="1">
      <x:c r="A9" s="3" t="str">
        <x:v>Attendance and Workforce Scheduling</x:v>
      </x:c>
      <x:c r="B9" s="2" t="n">
        <x:f>COUNTIFS('Results'!$B$6:$B$81,$A9)</x:f>
        <x:v>12</x:v>
      </x:c>
      <x:c r="C9" s="2" t="n">
        <x:f>COUNTIFS('Results'!$B$6:$B$81,$A9,'Results'!$F$6:$F$81,"Not run")</x:f>
        <x:v>12</x:v>
      </x:c>
      <x:c r="D9" s="2" t="n">
        <x:f>COUNTIFS('Results'!$B$6:$B$81,$A9,'Results'!$F$6:$F$81,"Pass")</x:f>
        <x:v>0</x:v>
      </x:c>
      <x:c r="E9" s="2" t="n">
        <x:f>COUNTIFS('Results'!$B$6:$B$81,$A9,'Results'!$F$6:$F$81,"Fail")</x:f>
        <x:v>0</x:v>
      </x:c>
      <x:c r="F9" s="2" t="n">
        <x:f>COUNTIFS('Results'!$B$6:$B$81,$A9,'Results'!$F$6:$F$81,"Blocked")</x:f>
        <x:v>0</x:v>
      </x:c>
      <x:c r="G9" s="2" t="n">
        <x:f>COUNTIFS('Results'!$B$6:$B$81,$A9,'Results'!$F$6:$F$81,"Not applicable")</x:f>
        <x:v>0</x:v>
      </x:c>
      <x:c r="H9" s="2" t="n">
        <x:f>COUNTIFS('Results'!$B$6:$B$81,$A9,'Results'!$C$6:$C$81,"P0",'Results'!$F$6:$F$81,"&lt;&gt;Pass")</x:f>
        <x:v>6</x:v>
      </x:c>
      <x:c r="I9" s="2" t="n">
        <x:f>COUNTIFS('Results'!$B$6:$B$81,$A9,'Results'!$O$6:$O$81,"Recorded")+COUNTIFS('Results'!$B$6:$B$81,$A9,'Results'!$O$6:$O$81,"Review disposition")</x:f>
        <x:v>0</x:v>
      </x:c>
    </x:row>
    <x:row r="10" ht="42" customHeight="1">
      <x:c r="A10" s="3" t="str">
        <x:v>Leave Management</x:v>
      </x:c>
      <x:c r="B10" s="2" t="n">
        <x:f>COUNTIFS('Results'!$B$6:$B$81,$A10)</x:f>
        <x:v>10</x:v>
      </x:c>
      <x:c r="C10" s="2" t="n">
        <x:f>COUNTIFS('Results'!$B$6:$B$81,$A10,'Results'!$F$6:$F$81,"Not run")</x:f>
        <x:v>10</x:v>
      </x:c>
      <x:c r="D10" s="2" t="n">
        <x:f>COUNTIFS('Results'!$B$6:$B$81,$A10,'Results'!$F$6:$F$81,"Pass")</x:f>
        <x:v>0</x:v>
      </x:c>
      <x:c r="E10" s="2" t="n">
        <x:f>COUNTIFS('Results'!$B$6:$B$81,$A10,'Results'!$F$6:$F$81,"Fail")</x:f>
        <x:v>0</x:v>
      </x:c>
      <x:c r="F10" s="2" t="n">
        <x:f>COUNTIFS('Results'!$B$6:$B$81,$A10,'Results'!$F$6:$F$81,"Blocked")</x:f>
        <x:v>0</x:v>
      </x:c>
      <x:c r="G10" s="2" t="n">
        <x:f>COUNTIFS('Results'!$B$6:$B$81,$A10,'Results'!$F$6:$F$81,"Not applicable")</x:f>
        <x:v>0</x:v>
      </x:c>
      <x:c r="H10" s="2" t="n">
        <x:f>COUNTIFS('Results'!$B$6:$B$81,$A10,'Results'!$C$6:$C$81,"P0",'Results'!$F$6:$F$81,"&lt;&gt;Pass")</x:f>
        <x:v>8</x:v>
      </x:c>
      <x:c r="I10" s="2" t="n">
        <x:f>COUNTIFS('Results'!$B$6:$B$81,$A10,'Results'!$O$6:$O$81,"Recorded")+COUNTIFS('Results'!$B$6:$B$81,$A10,'Results'!$O$6:$O$81,"Review disposition")</x:f>
        <x:v>0</x:v>
      </x:c>
    </x:row>
    <x:row r="11" ht="42" customHeight="1">
      <x:c r="A11" s="3" t="str">
        <x:v>Payroll and Compensation</x:v>
      </x:c>
      <x:c r="B11" s="2" t="n">
        <x:f>COUNTIFS('Results'!$B$6:$B$81,$A11)</x:f>
        <x:v>12</x:v>
      </x:c>
      <x:c r="C11" s="2" t="n">
        <x:f>COUNTIFS('Results'!$B$6:$B$81,$A11,'Results'!$F$6:$F$81,"Not run")</x:f>
        <x:v>12</x:v>
      </x:c>
      <x:c r="D11" s="2" t="n">
        <x:f>COUNTIFS('Results'!$B$6:$B$81,$A11,'Results'!$F$6:$F$81,"Pass")</x:f>
        <x:v>0</x:v>
      </x:c>
      <x:c r="E11" s="2" t="n">
        <x:f>COUNTIFS('Results'!$B$6:$B$81,$A11,'Results'!$F$6:$F$81,"Fail")</x:f>
        <x:v>0</x:v>
      </x:c>
      <x:c r="F11" s="2" t="n">
        <x:f>COUNTIFS('Results'!$B$6:$B$81,$A11,'Results'!$F$6:$F$81,"Blocked")</x:f>
        <x:v>0</x:v>
      </x:c>
      <x:c r="G11" s="2" t="n">
        <x:f>COUNTIFS('Results'!$B$6:$B$81,$A11,'Results'!$F$6:$F$81,"Not applicable")</x:f>
        <x:v>0</x:v>
      </x:c>
      <x:c r="H11" s="2" t="n">
        <x:f>COUNTIFS('Results'!$B$6:$B$81,$A11,'Results'!$C$6:$C$81,"P0",'Results'!$F$6:$F$81,"&lt;&gt;Pass")</x:f>
        <x:v>12</x:v>
      </x:c>
      <x:c r="I11" s="2" t="n">
        <x:f>COUNTIFS('Results'!$B$6:$B$81,$A11,'Results'!$O$6:$O$81,"Recorded")+COUNTIFS('Results'!$B$6:$B$81,$A11,'Results'!$O$6:$O$81,"Review disposition")</x:f>
        <x:v>0</x:v>
      </x:c>
    </x:row>
    <x:row r="12" ht="42" customHeight="1">
      <x:c r="A12" s="3" t="str">
        <x:v>Performance Management</x:v>
      </x:c>
      <x:c r="B12" s="2" t="n">
        <x:f>COUNTIFS('Results'!$B$6:$B$81,$A12)</x:f>
        <x:v>6</x:v>
      </x:c>
      <x:c r="C12" s="2" t="n">
        <x:f>COUNTIFS('Results'!$B$6:$B$81,$A12,'Results'!$F$6:$F$81,"Not run")</x:f>
        <x:v>6</x:v>
      </x:c>
      <x:c r="D12" s="2" t="n">
        <x:f>COUNTIFS('Results'!$B$6:$B$81,$A12,'Results'!$F$6:$F$81,"Pass")</x:f>
        <x:v>0</x:v>
      </x:c>
      <x:c r="E12" s="2" t="n">
        <x:f>COUNTIFS('Results'!$B$6:$B$81,$A12,'Results'!$F$6:$F$81,"Fail")</x:f>
        <x:v>0</x:v>
      </x:c>
      <x:c r="F12" s="2" t="n">
        <x:f>COUNTIFS('Results'!$B$6:$B$81,$A12,'Results'!$F$6:$F$81,"Blocked")</x:f>
        <x:v>0</x:v>
      </x:c>
      <x:c r="G12" s="2" t="n">
        <x:f>COUNTIFS('Results'!$B$6:$B$81,$A12,'Results'!$F$6:$F$81,"Not applicable")</x:f>
        <x:v>0</x:v>
      </x:c>
      <x:c r="H12" s="2" t="n">
        <x:f>COUNTIFS('Results'!$B$6:$B$81,$A12,'Results'!$C$6:$C$81,"P0",'Results'!$F$6:$F$81,"&lt;&gt;Pass")</x:f>
        <x:v>0</x:v>
      </x:c>
      <x:c r="I12" s="2" t="n">
        <x:f>COUNTIFS('Results'!$B$6:$B$81,$A12,'Results'!$O$6:$O$81,"Recorded")+COUNTIFS('Results'!$B$6:$B$81,$A12,'Results'!$O$6:$O$81,"Review disposition")</x:f>
        <x:v>0</x:v>
      </x:c>
    </x:row>
    <x:row r="13" ht="42" customHeight="1">
      <x:c r="A13" s="3" t="str">
        <x:v>Training and Development</x:v>
      </x:c>
      <x:c r="B13" s="2" t="n">
        <x:f>COUNTIFS('Results'!$B$6:$B$81,$A13)</x:f>
        <x:v>6</x:v>
      </x:c>
      <x:c r="C13" s="2" t="n">
        <x:f>COUNTIFS('Results'!$B$6:$B$81,$A13,'Results'!$F$6:$F$81,"Not run")</x:f>
        <x:v>6</x:v>
      </x:c>
      <x:c r="D13" s="2" t="n">
        <x:f>COUNTIFS('Results'!$B$6:$B$81,$A13,'Results'!$F$6:$F$81,"Pass")</x:f>
        <x:v>0</x:v>
      </x:c>
      <x:c r="E13" s="2" t="n">
        <x:f>COUNTIFS('Results'!$B$6:$B$81,$A13,'Results'!$F$6:$F$81,"Fail")</x:f>
        <x:v>0</x:v>
      </x:c>
      <x:c r="F13" s="2" t="n">
        <x:f>COUNTIFS('Results'!$B$6:$B$81,$A13,'Results'!$F$6:$F$81,"Blocked")</x:f>
        <x:v>0</x:v>
      </x:c>
      <x:c r="G13" s="2" t="n">
        <x:f>COUNTIFS('Results'!$B$6:$B$81,$A13,'Results'!$F$6:$F$81,"Not applicable")</x:f>
        <x:v>0</x:v>
      </x:c>
      <x:c r="H13" s="2" t="n">
        <x:f>COUNTIFS('Results'!$B$6:$B$81,$A13,'Results'!$C$6:$C$81,"P0",'Results'!$F$6:$F$81,"&lt;&gt;Pass")</x:f>
        <x:v>0</x:v>
      </x:c>
      <x:c r="I13" s="2" t="n">
        <x:f>COUNTIFS('Results'!$B$6:$B$81,$A13,'Results'!$O$6:$O$81,"Recorded")+COUNTIFS('Results'!$B$6:$B$81,$A13,'Results'!$O$6:$O$81,"Review disposition")</x:f>
        <x:v>0</x:v>
      </x:c>
    </x:row>
    <x:row r="14" ht="42" customHeight="1">
      <x:c r="A14" s="3" t="str">
        <x:v>Shared Reporting and Controls</x:v>
      </x:c>
      <x:c r="B14" s="2" t="n">
        <x:f>COUNTIFS('Results'!$B$6:$B$81,$A14)</x:f>
        <x:v>8</x:v>
      </x:c>
      <x:c r="C14" s="2" t="n">
        <x:f>COUNTIFS('Results'!$B$6:$B$81,$A14,'Results'!$F$6:$F$81,"Not run")</x:f>
        <x:v>8</x:v>
      </x:c>
      <x:c r="D14" s="2" t="n">
        <x:f>COUNTIFS('Results'!$B$6:$B$81,$A14,'Results'!$F$6:$F$81,"Pass")</x:f>
        <x:v>0</x:v>
      </x:c>
      <x:c r="E14" s="2" t="n">
        <x:f>COUNTIFS('Results'!$B$6:$B$81,$A14,'Results'!$F$6:$F$81,"Fail")</x:f>
        <x:v>0</x:v>
      </x:c>
      <x:c r="F14" s="2" t="n">
        <x:f>COUNTIFS('Results'!$B$6:$B$81,$A14,'Results'!$F$6:$F$81,"Blocked")</x:f>
        <x:v>0</x:v>
      </x:c>
      <x:c r="G14" s="2" t="n">
        <x:f>COUNTIFS('Results'!$B$6:$B$81,$A14,'Results'!$F$6:$F$81,"Not applicable")</x:f>
        <x:v>0</x:v>
      </x:c>
      <x:c r="H14" s="2" t="n">
        <x:f>COUNTIFS('Results'!$B$6:$B$81,$A14,'Results'!$C$6:$C$81,"P0",'Results'!$F$6:$F$81,"&lt;&gt;Pass")</x:f>
        <x:v>4</x:v>
      </x:c>
      <x:c r="I14" s="2" t="n">
        <x:f>COUNTIFS('Results'!$B$6:$B$81,$A14,'Results'!$O$6:$O$81,"Recorded")+COUNTIFS('Results'!$B$6:$B$81,$A14,'Results'!$O$6:$O$81,"Review disposition")</x:f>
        <x:v>0</x:v>
      </x:c>
    </x:row>
    <x:row r="15" ht="42" customHeight="1">
      <x:c r="A15" s="3" t="str">
        <x:v>End-to-End Journeys</x:v>
      </x:c>
      <x:c r="B15" s="2" t="n">
        <x:f>COUNTIFS('Results'!$B$6:$B$81,$A15)</x:f>
        <x:v>4</x:v>
      </x:c>
      <x:c r="C15" s="2" t="n">
        <x:f>COUNTIFS('Results'!$B$6:$B$81,$A15,'Results'!$F$6:$F$81,"Not run")</x:f>
        <x:v>4</x:v>
      </x:c>
      <x:c r="D15" s="2" t="n">
        <x:f>COUNTIFS('Results'!$B$6:$B$81,$A15,'Results'!$F$6:$F$81,"Pass")</x:f>
        <x:v>0</x:v>
      </x:c>
      <x:c r="E15" s="2" t="n">
        <x:f>COUNTIFS('Results'!$B$6:$B$81,$A15,'Results'!$F$6:$F$81,"Fail")</x:f>
        <x:v>0</x:v>
      </x:c>
      <x:c r="F15" s="2" t="n">
        <x:f>COUNTIFS('Results'!$B$6:$B$81,$A15,'Results'!$F$6:$F$81,"Blocked")</x:f>
        <x:v>0</x:v>
      </x:c>
      <x:c r="G15" s="2" t="n">
        <x:f>COUNTIFS('Results'!$B$6:$B$81,$A15,'Results'!$F$6:$F$81,"Not applicable")</x:f>
        <x:v>0</x:v>
      </x:c>
      <x:c r="H15" s="2" t="n">
        <x:f>COUNTIFS('Results'!$B$6:$B$81,$A15,'Results'!$C$6:$C$81,"P0",'Results'!$F$6:$F$81,"&lt;&gt;Pass")</x:f>
        <x:v>4</x:v>
      </x:c>
      <x:c r="I15" s="2" t="n">
        <x:f>COUNTIFS('Results'!$B$6:$B$81,$A15,'Results'!$O$6:$O$81,"Recorded")+COUNTIFS('Results'!$B$6:$B$81,$A15,'Results'!$O$6:$O$81,"Review disposition")</x:f>
        <x:v>0</x:v>
      </x:c>
    </x:row>
    <x:row r="16" ht="42" customHeight="1">
      <x:c r="A16" s="17" t="str">
        <x:v>Total</x:v>
      </x:c>
      <x:c r="B16" s="16" t="n">
        <x:f>SUM(B7:B15)</x:f>
        <x:v>76</x:v>
      </x:c>
      <x:c r="C16" s="16" t="n">
        <x:f>SUM(C7:C15)</x:f>
        <x:v>76</x:v>
      </x:c>
      <x:c r="D16" s="16" t="n">
        <x:f>SUM(D7:D15)</x:f>
        <x:v>0</x:v>
      </x:c>
      <x:c r="E16" s="16" t="n">
        <x:f>SUM(E7:E15)</x:f>
        <x:v>0</x:v>
      </x:c>
      <x:c r="F16" s="16" t="n">
        <x:f>SUM(F7:F15)</x:f>
        <x:v>0</x:v>
      </x:c>
      <x:c r="G16" s="16" t="n">
        <x:f>SUM(G7:G15)</x:f>
        <x:v>0</x:v>
      </x:c>
      <x:c r="H16" s="16" t="n">
        <x:f>SUM(H7:H15)</x:f>
        <x:v>40</x:v>
      </x:c>
      <x:c r="I16" s="16" t="n">
        <x:f>SUM(I7:I15)</x:f>
        <x:v>0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42" customHeight="1">
      <x:c r="A19" s="3" t="str">
        <x:v>Preparation items still incomplete</x:v>
      </x:c>
      <x:c r="B19" s="2" t="n">
        <x:f>19-SUM('Preparation'!$H$6:$H$24)</x:f>
        <x:v>19</x:v>
      </x:c>
      <x:c r="C19" s="2"/>
      <x:c r="D19" s="2"/>
      <x:c r="E19" s="2"/>
      <x:c r="F19" s="2"/>
      <x:c r="G19" s="2"/>
      <x:c r="H19" s="2"/>
      <x:c r="I19" s="2"/>
    </x:row>
    <x:row r="20" ht="42" customHeight="1">
      <x:c r="A20" s="3" t="str">
        <x:v>Unresolved critical / major issues</x:v>
      </x:c>
      <x:c r="B20" s="2" t="n">
        <x:f>COUNTIFS('Issues'!$D$6:$D$45,"Critical",'Issues'!$I$6:$I$45,"&lt;&gt;Closed")+COUNTIFS('Issues'!$D$6:$D$45,"Major",'Issues'!$I$6:$I$45,"&lt;&gt;Closed")</x:f>
        <x:v>0</x:v>
      </x:c>
      <x:c r="C20" s="2"/>
      <x:c r="D20" s="2"/>
      <x:c r="E20" s="2"/>
      <x:c r="F20" s="2"/>
      <x:c r="G20" s="2"/>
      <x:c r="H20" s="2"/>
      <x:c r="I20" s="2"/>
    </x:row>
    <x:row r="21" ht="42" customHeight="1">
      <x:c r="A21" s="3" t="str">
        <x:v>Minor issues lacking closure or accepted workaround</x:v>
      </x:c>
      <x:c r="B21" s="2" t="n">
        <x:f>SUM('Issues'!$M$6:$M$45)</x:f>
        <x:v>0</x:v>
      </x:c>
      <x:c r="C21" s="2"/>
      <x:c r="D21" s="2"/>
      <x:c r="E21" s="2"/>
      <x:c r="F21" s="2"/>
      <x:c r="G21" s="2"/>
      <x:c r="H21" s="2"/>
      <x:c r="I21" s="2"/>
    </x:row>
    <x:row r="22" ht="42" customHeight="1">
      <x:c r="A22" s="3" t="str">
        <x:v>Evidence / disposition still incomplete</x:v>
      </x:c>
      <x:c r="B22" s="2" t="n">
        <x:f>B16-I16</x:f>
        <x:v>76</x:v>
      </x:c>
      <x:c r="C22" s="2"/>
      <x:c r="D22" s="2"/>
      <x:c r="E22" s="2"/>
      <x:c r="F22" s="2"/>
      <x:c r="G22" s="2"/>
      <x:c r="H22" s="2"/>
      <x:c r="I22" s="2"/>
    </x:row>
    <x:row r="23" ht="42" customHeight="1">
      <x:c r="A23" s="3" t="str">
        <x:v>Sign-offs still incomplete</x:v>
      </x:c>
      <x:c r="B23" s="2" t="n">
        <x:f>10-SUM('Sign-off'!$I$6:$I$15)</x:f>
        <x:v>10</x:v>
      </x:c>
      <x:c r="C23" s="2"/>
      <x:c r="D23" s="2"/>
      <x:c r="E23" s="2"/>
      <x:c r="F23" s="2"/>
      <x:c r="G23" s="2"/>
      <x:c r="H23" s="2"/>
      <x:c r="I23" s="2"/>
    </x:row>
    <x:row r="24" ht="42" customHeight="1">
      <x:c r="A24" s="3" t="str">
        <x:v>Decision support</x:v>
      </x:c>
      <x:c r="B24" s="2" t="str">
        <x:v>Manual release review required</x:v>
      </x:c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 t="str">
        <x:v>Start with Preparation, then filter Results by phase/workstream using Test Cases. Yellow cells are editable.</x:v>
      </x:c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 t="str">
        <x:v>P0 = critical; P1 = required. All subscenarios must pass before a test record can Pass.</x:v>
      </x:c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 t="str">
        <x:v>Do not mark missing functionality Pass. Log a capability gap. N/A needs owner approval and reviewer.</x:v>
      </x:c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 t="str">
        <x:v>Counts support review; they do not verify evidence contents or authorize release. See docs/uat/hr/README.md.</x:v>
      </x:c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 t="str">
        <x:v>Append issues inside the table; extend Overview formula ranges beyond the 40 reserved issue rows.</x:v>
      </x:c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 t="str">
        <x:v>Retests: keep original actual/evidence, add dated retest evidence/build and update status only after review.</x:v>
      </x:c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</x:sheetData>
  <x:conditionalFormatting sqref="B19:B23">
    <x:cfRule type="cellIs" dxfId="5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0" hidden="0" customWidth="1"/>
    <x:col min="4" max="4" width="22" hidden="0" customWidth="1"/>
    <x:col min="5" max="5" width="26" hidden="0" customWidth="1"/>
    <x:col min="6" max="6" width="19" hidden="0" customWidth="1"/>
    <x:col min="7" max="7" width="55" hidden="0" customWidth="1"/>
    <x:col min="8" max="8" width="42" hidden="0" customWidth="1"/>
    <x:col min="9" max="9" width="22" hidden="0" customWidth="1"/>
    <x:col min="10" max="10" width="45" hidden="0" customWidth="1"/>
    <x:col min="11" max="11" width="17" hidden="0" customWidth="1"/>
    <x:col min="12" max="12" width="25" hidden="0" customWidth="1"/>
    <x:col min="13" max="13" width="40" hidden="0" customWidth="1"/>
    <x:col min="14" max="14" width="22" hidden="0" customWidth="1"/>
    <x:col min="15" max="15" width="31" hidden="0" customWidth="1"/>
  </x:cols>
  <x:sheetData>
    <x:row r="2" ht="23" customHeight="1">
      <x:c r="A2" s="1" t="str">
        <x:v>HR Results</x:v>
      </x:c>
    </x:row>
    <x:row r="5" ht="34" customHeight="1">
      <x:c r="A5" s="8" t="str">
        <x:v>Test ID</x:v>
      </x:c>
      <x:c r="B5" s="8" t="str">
        <x:v>Workstream</x:v>
      </x:c>
      <x:c r="C5" s="8" t="str">
        <x:v>Priority</x:v>
      </x:c>
      <x:c r="D5" s="8" t="str">
        <x:v>Assigned tester</x:v>
      </x:c>
      <x:c r="E5" s="8" t="str">
        <x:v>Test role / scope</x:v>
      </x:c>
      <x:c r="F5" s="8" t="str">
        <x:v>Status</x:v>
      </x:c>
      <x:c r="G5" s="8" t="str">
        <x:v>Actual result</x:v>
      </x:c>
      <x:c r="H5" s="8" t="str">
        <x:v>Evidence location / IDs</x:v>
      </x:c>
      <x:c r="I5" s="8" t="str">
        <x:v>Issue / gap IDs</x:v>
      </x:c>
      <x:c r="J5" s="8" t="str">
        <x:v>Retest result / evidence</x:v>
      </x:c>
      <x:c r="K5" s="8" t="str">
        <x:v>Executed date</x:v>
      </x:c>
      <x:c r="L5" s="8" t="str">
        <x:v>Build / cycle</x:v>
      </x:c>
      <x:c r="M5" s="8" t="str">
        <x:v>N/A owner / reason</x:v>
      </x:c>
      <x:c r="N5" s="8" t="str">
        <x:v>Reviewer</x:v>
      </x:c>
      <x:c r="O5" s="8" t="str">
        <x:v>Evidence check</x:v>
      </x:c>
    </x:row>
    <x:row r="6" ht="48" customHeight="1">
      <x:c r="A6" s="4" t="str">
        <x:v>HR-01-P</x:v>
      </x:c>
      <x:c r="B6" s="4" t="str">
        <x:v>Personnel and Employee Administration</x:v>
      </x:c>
      <x:c r="C6" s="4" t="str">
        <x:v>P1</x:v>
      </x:c>
      <x:c r="D6" s="9" t="str"/>
      <x:c r="E6" s="9" t="str"/>
      <x:c r="F6" s="9" t="str">
        <x:v>Not run</x:v>
      </x:c>
      <x:c r="G6" s="9" t="str"/>
      <x:c r="H6" s="9" t="str"/>
      <x:c r="I6" s="9" t="str"/>
      <x:c r="J6" s="9" t="str"/>
      <x:c r="K6" s="10" t="str"/>
      <x:c r="L6" s="9" t="str"/>
      <x:c r="M6" s="9" t="str"/>
      <x:c r="N6" s="9" t="str"/>
      <x:c r="O6" s="4" t="str">
        <x:f>IF(F6="Not run","Not run",IF(F6="Not applicable",IF(AND(M6&lt;&gt;"",N6&lt;&gt;""),"Review disposition","Missing N/A approval"),IF(AND(D6&lt;&gt;"",E6&lt;&gt;"",G6&lt;&gt;"",H6&lt;&gt;"",K6&lt;&gt;"",L6&lt;&gt;"",N6&lt;&gt;"",OR(F6="Pass",I6&lt;&gt;"")),"Recorded","Missing evidence / issue")))</x:f>
        <x:v>Not run</x:v>
      </x:c>
    </x:row>
    <x:row r="7" ht="48" customHeight="1">
      <x:c r="A7" s="4" t="str">
        <x:v>HR-01-C</x:v>
      </x:c>
      <x:c r="B7" s="4" t="str">
        <x:v>Personnel and Employee Administration</x:v>
      </x:c>
      <x:c r="C7" s="4" t="str">
        <x:v>P1</x:v>
      </x:c>
      <x:c r="D7" s="9" t="str"/>
      <x:c r="E7" s="9" t="str"/>
      <x:c r="F7" s="9" t="str">
        <x:v>Not run</x:v>
      </x:c>
      <x:c r="G7" s="9" t="str"/>
      <x:c r="H7" s="9" t="str"/>
      <x:c r="I7" s="9" t="str"/>
      <x:c r="J7" s="9" t="str"/>
      <x:c r="K7" s="10" t="str"/>
      <x:c r="L7" s="9" t="str"/>
      <x:c r="M7" s="9" t="str"/>
      <x:c r="N7" s="9" t="str"/>
      <x:c r="O7" s="4" t="str">
        <x:f>IF(F7="Not run","Not run",IF(F7="Not applicable",IF(AND(M7&lt;&gt;"",N7&lt;&gt;""),"Review disposition","Missing N/A approval"),IF(AND(D7&lt;&gt;"",E7&lt;&gt;"",G7&lt;&gt;"",H7&lt;&gt;"",K7&lt;&gt;"",L7&lt;&gt;"",N7&lt;&gt;"",OR(F7="Pass",I7&lt;&gt;"")),"Recorded","Missing evidence / issue")))</x:f>
        <x:v>Not run</x:v>
      </x:c>
    </x:row>
    <x:row r="8" ht="48" customHeight="1">
      <x:c r="A8" s="4" t="str">
        <x:v>HR-02-P</x:v>
      </x:c>
      <x:c r="B8" s="4" t="str">
        <x:v>Personnel and Employee Administration</x:v>
      </x:c>
      <x:c r="C8" s="4" t="str">
        <x:v>P1</x:v>
      </x:c>
      <x:c r="D8" s="9" t="str"/>
      <x:c r="E8" s="9" t="str"/>
      <x:c r="F8" s="9" t="str">
        <x:v>Not run</x:v>
      </x:c>
      <x:c r="G8" s="9" t="str"/>
      <x:c r="H8" s="9" t="str"/>
      <x:c r="I8" s="9" t="str"/>
      <x:c r="J8" s="9" t="str"/>
      <x:c r="K8" s="10" t="str"/>
      <x:c r="L8" s="9" t="str"/>
      <x:c r="M8" s="9" t="str"/>
      <x:c r="N8" s="9" t="str"/>
      <x:c r="O8" s="4" t="str">
        <x:f>IF(F8="Not run","Not run",IF(F8="Not applicable",IF(AND(M8&lt;&gt;"",N8&lt;&gt;""),"Review disposition","Missing N/A approval"),IF(AND(D8&lt;&gt;"",E8&lt;&gt;"",G8&lt;&gt;"",H8&lt;&gt;"",K8&lt;&gt;"",L8&lt;&gt;"",N8&lt;&gt;"",OR(F8="Pass",I8&lt;&gt;"")),"Recorded","Missing evidence / issue")))</x:f>
        <x:v>Not run</x:v>
      </x:c>
    </x:row>
    <x:row r="9" ht="48" customHeight="1">
      <x:c r="A9" s="4" t="str">
        <x:v>HR-02-C</x:v>
      </x:c>
      <x:c r="B9" s="4" t="str">
        <x:v>Personnel and Employee Administration</x:v>
      </x:c>
      <x:c r="C9" s="4" t="str">
        <x:v>P1</x:v>
      </x:c>
      <x:c r="D9" s="9" t="str"/>
      <x:c r="E9" s="9" t="str"/>
      <x:c r="F9" s="9" t="str">
        <x:v>Not run</x:v>
      </x:c>
      <x:c r="G9" s="9" t="str"/>
      <x:c r="H9" s="9" t="str"/>
      <x:c r="I9" s="9" t="str"/>
      <x:c r="J9" s="9" t="str"/>
      <x:c r="K9" s="10" t="str"/>
      <x:c r="L9" s="9" t="str"/>
      <x:c r="M9" s="9" t="str"/>
      <x:c r="N9" s="9" t="str"/>
      <x:c r="O9" s="4" t="str">
        <x:f>IF(F9="Not run","Not run",IF(F9="Not applicable",IF(AND(M9&lt;&gt;"",N9&lt;&gt;""),"Review disposition","Missing N/A approval"),IF(AND(D9&lt;&gt;"",E9&lt;&gt;"",G9&lt;&gt;"",H9&lt;&gt;"",K9&lt;&gt;"",L9&lt;&gt;"",N9&lt;&gt;"",OR(F9="Pass",I9&lt;&gt;"")),"Recorded","Missing evidence / issue")))</x:f>
        <x:v>Not run</x:v>
      </x:c>
    </x:row>
    <x:row r="10" ht="48" customHeight="1">
      <x:c r="A10" s="4" t="str">
        <x:v>HR-03-P</x:v>
      </x:c>
      <x:c r="B10" s="4" t="str">
        <x:v>Personnel and Employee Administration</x:v>
      </x:c>
      <x:c r="C10" s="4" t="str">
        <x:v>P1</x:v>
      </x:c>
      <x:c r="D10" s="9" t="str"/>
      <x:c r="E10" s="9" t="str"/>
      <x:c r="F10" s="9" t="str">
        <x:v>Not run</x:v>
      </x:c>
      <x:c r="G10" s="9" t="str"/>
      <x:c r="H10" s="9" t="str"/>
      <x:c r="I10" s="9" t="str"/>
      <x:c r="J10" s="9" t="str"/>
      <x:c r="K10" s="10" t="str"/>
      <x:c r="L10" s="9" t="str"/>
      <x:c r="M10" s="9" t="str"/>
      <x:c r="N10" s="9" t="str"/>
      <x:c r="O10" s="4" t="str">
        <x:f>IF(F10="Not run","Not run",IF(F10="Not applicable",IF(AND(M10&lt;&gt;"",N10&lt;&gt;""),"Review disposition","Missing N/A approval"),IF(AND(D10&lt;&gt;"",E10&lt;&gt;"",G10&lt;&gt;"",H10&lt;&gt;"",K10&lt;&gt;"",L10&lt;&gt;"",N10&lt;&gt;"",OR(F10="Pass",I10&lt;&gt;"")),"Recorded","Missing evidence / issue")))</x:f>
        <x:v>Not run</x:v>
      </x:c>
    </x:row>
    <x:row r="11" ht="48" customHeight="1">
      <x:c r="A11" s="4" t="str">
        <x:v>HR-03-C</x:v>
      </x:c>
      <x:c r="B11" s="4" t="str">
        <x:v>Personnel and Employee Administration</x:v>
      </x:c>
      <x:c r="C11" s="4" t="str">
        <x:v>P1</x:v>
      </x:c>
      <x:c r="D11" s="9" t="str"/>
      <x:c r="E11" s="9" t="str"/>
      <x:c r="F11" s="9" t="str">
        <x:v>Not run</x:v>
      </x:c>
      <x:c r="G11" s="9" t="str"/>
      <x:c r="H11" s="9" t="str"/>
      <x:c r="I11" s="9" t="str"/>
      <x:c r="J11" s="9" t="str"/>
      <x:c r="K11" s="10" t="str"/>
      <x:c r="L11" s="9" t="str"/>
      <x:c r="M11" s="9" t="str"/>
      <x:c r="N11" s="9" t="str"/>
      <x:c r="O11" s="4" t="str">
        <x:f>IF(F11="Not run","Not run",IF(F11="Not applicable",IF(AND(M11&lt;&gt;"",N11&lt;&gt;""),"Review disposition","Missing N/A approval"),IF(AND(D11&lt;&gt;"",E11&lt;&gt;"",G11&lt;&gt;"",H11&lt;&gt;"",K11&lt;&gt;"",L11&lt;&gt;"",N11&lt;&gt;"",OR(F11="Pass",I11&lt;&gt;"")),"Recorded","Missing evidence / issue")))</x:f>
        <x:v>Not run</x:v>
      </x:c>
    </x:row>
    <x:row r="12" ht="48" customHeight="1">
      <x:c r="A12" s="4" t="str">
        <x:v>HR-04-P</x:v>
      </x:c>
      <x:c r="B12" s="4" t="str">
        <x:v>Personnel and Employee Administration</x:v>
      </x:c>
      <x:c r="C12" s="4" t="str">
        <x:v>P0</x:v>
      </x:c>
      <x:c r="D12" s="9" t="str"/>
      <x:c r="E12" s="9" t="str"/>
      <x:c r="F12" s="9" t="str">
        <x:v>Not run</x:v>
      </x:c>
      <x:c r="G12" s="9" t="str"/>
      <x:c r="H12" s="9" t="str"/>
      <x:c r="I12" s="9" t="str"/>
      <x:c r="J12" s="9" t="str"/>
      <x:c r="K12" s="10" t="str"/>
      <x:c r="L12" s="9" t="str"/>
      <x:c r="M12" s="9" t="str"/>
      <x:c r="N12" s="9" t="str"/>
      <x:c r="O12" s="4" t="str">
        <x:f>IF(F12="Not run","Not run",IF(F12="Not applicable",IF(AND(M12&lt;&gt;"",N12&lt;&gt;""),"Review disposition","Missing N/A approval"),IF(AND(D12&lt;&gt;"",E12&lt;&gt;"",G12&lt;&gt;"",H12&lt;&gt;"",K12&lt;&gt;"",L12&lt;&gt;"",N12&lt;&gt;"",OR(F12="Pass",I12&lt;&gt;"")),"Recorded","Missing evidence / issue")))</x:f>
        <x:v>Not run</x:v>
      </x:c>
    </x:row>
    <x:row r="13" ht="48" customHeight="1">
      <x:c r="A13" s="4" t="str">
        <x:v>HR-04-C</x:v>
      </x:c>
      <x:c r="B13" s="4" t="str">
        <x:v>Personnel and Employee Administration</x:v>
      </x:c>
      <x:c r="C13" s="4" t="str">
        <x:v>P0</x:v>
      </x:c>
      <x:c r="D13" s="9" t="str"/>
      <x:c r="E13" s="9" t="str"/>
      <x:c r="F13" s="9" t="str">
        <x:v>Not run</x:v>
      </x:c>
      <x:c r="G13" s="9" t="str"/>
      <x:c r="H13" s="9" t="str"/>
      <x:c r="I13" s="9" t="str"/>
      <x:c r="J13" s="9" t="str"/>
      <x:c r="K13" s="10" t="str"/>
      <x:c r="L13" s="9" t="str"/>
      <x:c r="M13" s="9" t="str"/>
      <x:c r="N13" s="9" t="str"/>
      <x:c r="O13" s="4" t="str">
        <x:f>IF(F13="Not run","Not run",IF(F13="Not applicable",IF(AND(M13&lt;&gt;"",N13&lt;&gt;""),"Review disposition","Missing N/A approval"),IF(AND(D13&lt;&gt;"",E13&lt;&gt;"",G13&lt;&gt;"",H13&lt;&gt;"",K13&lt;&gt;"",L13&lt;&gt;"",N13&lt;&gt;"",OR(F13="Pass",I13&lt;&gt;"")),"Recorded","Missing evidence / issue")))</x:f>
        <x:v>Not run</x:v>
      </x:c>
    </x:row>
    <x:row r="14" ht="48" customHeight="1">
      <x:c r="A14" s="4" t="str">
        <x:v>HR-05-P</x:v>
      </x:c>
      <x:c r="B14" s="4" t="str">
        <x:v>Personnel and Employee Administration</x:v>
      </x:c>
      <x:c r="C14" s="4" t="str">
        <x:v>P0</x:v>
      </x:c>
      <x:c r="D14" s="9" t="str"/>
      <x:c r="E14" s="9" t="str"/>
      <x:c r="F14" s="9" t="str">
        <x:v>Not run</x:v>
      </x:c>
      <x:c r="G14" s="9" t="str"/>
      <x:c r="H14" s="9" t="str"/>
      <x:c r="I14" s="9" t="str"/>
      <x:c r="J14" s="9" t="str"/>
      <x:c r="K14" s="10" t="str"/>
      <x:c r="L14" s="9" t="str"/>
      <x:c r="M14" s="9" t="str"/>
      <x:c r="N14" s="9" t="str"/>
      <x:c r="O14" s="4" t="str">
        <x:f>IF(F14="Not run","Not run",IF(F14="Not applicable",IF(AND(M14&lt;&gt;"",N14&lt;&gt;""),"Review disposition","Missing N/A approval"),IF(AND(D14&lt;&gt;"",E14&lt;&gt;"",G14&lt;&gt;"",H14&lt;&gt;"",K14&lt;&gt;"",L14&lt;&gt;"",N14&lt;&gt;"",OR(F14="Pass",I14&lt;&gt;"")),"Recorded","Missing evidence / issue")))</x:f>
        <x:v>Not run</x:v>
      </x:c>
    </x:row>
    <x:row r="15" ht="48" customHeight="1">
      <x:c r="A15" s="4" t="str">
        <x:v>HR-05-C</x:v>
      </x:c>
      <x:c r="B15" s="4" t="str">
        <x:v>Personnel and Employee Administration</x:v>
      </x:c>
      <x:c r="C15" s="4" t="str">
        <x:v>P0</x:v>
      </x:c>
      <x:c r="D15" s="9" t="str"/>
      <x:c r="E15" s="9" t="str"/>
      <x:c r="F15" s="9" t="str">
        <x:v>Not run</x:v>
      </x:c>
      <x:c r="G15" s="9" t="str"/>
      <x:c r="H15" s="9" t="str"/>
      <x:c r="I15" s="9" t="str"/>
      <x:c r="J15" s="9" t="str"/>
      <x:c r="K15" s="10" t="str"/>
      <x:c r="L15" s="9" t="str"/>
      <x:c r="M15" s="9" t="str"/>
      <x:c r="N15" s="9" t="str"/>
      <x:c r="O15" s="4" t="str">
        <x:f>IF(F15="Not run","Not run",IF(F15="Not applicable",IF(AND(M15&lt;&gt;"",N15&lt;&gt;""),"Review disposition","Missing N/A approval"),IF(AND(D15&lt;&gt;"",E15&lt;&gt;"",G15&lt;&gt;"",H15&lt;&gt;"",K15&lt;&gt;"",L15&lt;&gt;"",N15&lt;&gt;"",OR(F15="Pass",I15&lt;&gt;"")),"Recorded","Missing evidence / issue")))</x:f>
        <x:v>Not run</x:v>
      </x:c>
    </x:row>
    <x:row r="16" ht="48" customHeight="1">
      <x:c r="A16" s="4" t="str">
        <x:v>REC-01-P</x:v>
      </x:c>
      <x:c r="B16" s="4" t="str">
        <x:v>Recruitment and Hiring</x:v>
      </x:c>
      <x:c r="C16" s="4" t="str">
        <x:v>P1</x:v>
      </x:c>
      <x:c r="D16" s="9" t="str"/>
      <x:c r="E16" s="9" t="str"/>
      <x:c r="F16" s="9" t="str">
        <x:v>Not run</x:v>
      </x:c>
      <x:c r="G16" s="9" t="str"/>
      <x:c r="H16" s="9" t="str"/>
      <x:c r="I16" s="9" t="str"/>
      <x:c r="J16" s="9" t="str"/>
      <x:c r="K16" s="10" t="str"/>
      <x:c r="L16" s="9" t="str"/>
      <x:c r="M16" s="9" t="str"/>
      <x:c r="N16" s="9" t="str"/>
      <x:c r="O16" s="4" t="str">
        <x:f>IF(F16="Not run","Not run",IF(F16="Not applicable",IF(AND(M16&lt;&gt;"",N16&lt;&gt;""),"Review disposition","Missing N/A approval"),IF(AND(D16&lt;&gt;"",E16&lt;&gt;"",G16&lt;&gt;"",H16&lt;&gt;"",K16&lt;&gt;"",L16&lt;&gt;"",N16&lt;&gt;"",OR(F16="Pass",I16&lt;&gt;"")),"Recorded","Missing evidence / issue")))</x:f>
        <x:v>Not run</x:v>
      </x:c>
    </x:row>
    <x:row r="17" ht="48" customHeight="1">
      <x:c r="A17" s="4" t="str">
        <x:v>REC-01-C</x:v>
      </x:c>
      <x:c r="B17" s="4" t="str">
        <x:v>Recruitment and Hiring</x:v>
      </x:c>
      <x:c r="C17" s="4" t="str">
        <x:v>P1</x:v>
      </x:c>
      <x:c r="D17" s="9" t="str"/>
      <x:c r="E17" s="9" t="str"/>
      <x:c r="F17" s="9" t="str">
        <x:v>Not run</x:v>
      </x:c>
      <x:c r="G17" s="9" t="str"/>
      <x:c r="H17" s="9" t="str"/>
      <x:c r="I17" s="9" t="str"/>
      <x:c r="J17" s="9" t="str"/>
      <x:c r="K17" s="10" t="str"/>
      <x:c r="L17" s="9" t="str"/>
      <x:c r="M17" s="9" t="str"/>
      <x:c r="N17" s="9" t="str"/>
      <x:c r="O17" s="4" t="str">
        <x:f>IF(F17="Not run","Not run",IF(F17="Not applicable",IF(AND(M17&lt;&gt;"",N17&lt;&gt;""),"Review disposition","Missing N/A approval"),IF(AND(D17&lt;&gt;"",E17&lt;&gt;"",G17&lt;&gt;"",H17&lt;&gt;"",K17&lt;&gt;"",L17&lt;&gt;"",N17&lt;&gt;"",OR(F17="Pass",I17&lt;&gt;"")),"Recorded","Missing evidence / issue")))</x:f>
        <x:v>Not run</x:v>
      </x:c>
    </x:row>
    <x:row r="18" ht="48" customHeight="1">
      <x:c r="A18" s="4" t="str">
        <x:v>REC-02-P</x:v>
      </x:c>
      <x:c r="B18" s="4" t="str">
        <x:v>Recruitment and Hiring</x:v>
      </x:c>
      <x:c r="C18" s="4" t="str">
        <x:v>P1</x:v>
      </x:c>
      <x:c r="D18" s="9" t="str"/>
      <x:c r="E18" s="9" t="str"/>
      <x:c r="F18" s="9" t="str">
        <x:v>Not run</x:v>
      </x:c>
      <x:c r="G18" s="9" t="str"/>
      <x:c r="H18" s="9" t="str"/>
      <x:c r="I18" s="9" t="str"/>
      <x:c r="J18" s="9" t="str"/>
      <x:c r="K18" s="10" t="str"/>
      <x:c r="L18" s="9" t="str"/>
      <x:c r="M18" s="9" t="str"/>
      <x:c r="N18" s="9" t="str"/>
      <x:c r="O18" s="4" t="str">
        <x:f>IF(F18="Not run","Not run",IF(F18="Not applicable",IF(AND(M18&lt;&gt;"",N18&lt;&gt;""),"Review disposition","Missing N/A approval"),IF(AND(D18&lt;&gt;"",E18&lt;&gt;"",G18&lt;&gt;"",H18&lt;&gt;"",K18&lt;&gt;"",L18&lt;&gt;"",N18&lt;&gt;"",OR(F18="Pass",I18&lt;&gt;"")),"Recorded","Missing evidence / issue")))</x:f>
        <x:v>Not run</x:v>
      </x:c>
    </x:row>
    <x:row r="19" ht="48" customHeight="1">
      <x:c r="A19" s="4" t="str">
        <x:v>REC-02-C</x:v>
      </x:c>
      <x:c r="B19" s="4" t="str">
        <x:v>Recruitment and Hiring</x:v>
      </x:c>
      <x:c r="C19" s="4" t="str">
        <x:v>P1</x:v>
      </x:c>
      <x:c r="D19" s="9" t="str"/>
      <x:c r="E19" s="9" t="str"/>
      <x:c r="F19" s="9" t="str">
        <x:v>Not run</x:v>
      </x:c>
      <x:c r="G19" s="9" t="str"/>
      <x:c r="H19" s="9" t="str"/>
      <x:c r="I19" s="9" t="str"/>
      <x:c r="J19" s="9" t="str"/>
      <x:c r="K19" s="10" t="str"/>
      <x:c r="L19" s="9" t="str"/>
      <x:c r="M19" s="9" t="str"/>
      <x:c r="N19" s="9" t="str"/>
      <x:c r="O19" s="4" t="str">
        <x:f>IF(F19="Not run","Not run",IF(F19="Not applicable",IF(AND(M19&lt;&gt;"",N19&lt;&gt;""),"Review disposition","Missing N/A approval"),IF(AND(D19&lt;&gt;"",E19&lt;&gt;"",G19&lt;&gt;"",H19&lt;&gt;"",K19&lt;&gt;"",L19&lt;&gt;"",N19&lt;&gt;"",OR(F19="Pass",I19&lt;&gt;"")),"Recorded","Missing evidence / issue")))</x:f>
        <x:v>Not run</x:v>
      </x:c>
    </x:row>
    <x:row r="20" ht="48" customHeight="1">
      <x:c r="A20" s="4" t="str">
        <x:v>REC-03-P</x:v>
      </x:c>
      <x:c r="B20" s="4" t="str">
        <x:v>Recruitment and Hiring</x:v>
      </x:c>
      <x:c r="C20" s="4" t="str">
        <x:v>P1</x:v>
      </x:c>
      <x:c r="D20" s="9" t="str"/>
      <x:c r="E20" s="9" t="str"/>
      <x:c r="F20" s="9" t="str">
        <x:v>Not run</x:v>
      </x:c>
      <x:c r="G20" s="9" t="str"/>
      <x:c r="H20" s="9" t="str"/>
      <x:c r="I20" s="9" t="str"/>
      <x:c r="J20" s="9" t="str"/>
      <x:c r="K20" s="10" t="str"/>
      <x:c r="L20" s="9" t="str"/>
      <x:c r="M20" s="9" t="str"/>
      <x:c r="N20" s="9" t="str"/>
      <x:c r="O20" s="4" t="str">
        <x:f>IF(F20="Not run","Not run",IF(F20="Not applicable",IF(AND(M20&lt;&gt;"",N20&lt;&gt;""),"Review disposition","Missing N/A approval"),IF(AND(D20&lt;&gt;"",E20&lt;&gt;"",G20&lt;&gt;"",H20&lt;&gt;"",K20&lt;&gt;"",L20&lt;&gt;"",N20&lt;&gt;"",OR(F20="Pass",I20&lt;&gt;"")),"Recorded","Missing evidence / issue")))</x:f>
        <x:v>Not run</x:v>
      </x:c>
    </x:row>
    <x:row r="21" ht="48" customHeight="1">
      <x:c r="A21" s="4" t="str">
        <x:v>REC-03-C</x:v>
      </x:c>
      <x:c r="B21" s="4" t="str">
        <x:v>Recruitment and Hiring</x:v>
      </x:c>
      <x:c r="C21" s="4" t="str">
        <x:v>P1</x:v>
      </x:c>
      <x:c r="D21" s="9" t="str"/>
      <x:c r="E21" s="9" t="str"/>
      <x:c r="F21" s="9" t="str">
        <x:v>Not run</x:v>
      </x:c>
      <x:c r="G21" s="9" t="str"/>
      <x:c r="H21" s="9" t="str"/>
      <x:c r="I21" s="9" t="str"/>
      <x:c r="J21" s="9" t="str"/>
      <x:c r="K21" s="10" t="str"/>
      <x:c r="L21" s="9" t="str"/>
      <x:c r="M21" s="9" t="str"/>
      <x:c r="N21" s="9" t="str"/>
      <x:c r="O21" s="4" t="str">
        <x:f>IF(F21="Not run","Not run",IF(F21="Not applicable",IF(AND(M21&lt;&gt;"",N21&lt;&gt;""),"Review disposition","Missing N/A approval"),IF(AND(D21&lt;&gt;"",E21&lt;&gt;"",G21&lt;&gt;"",H21&lt;&gt;"",K21&lt;&gt;"",L21&lt;&gt;"",N21&lt;&gt;"",OR(F21="Pass",I21&lt;&gt;"")),"Recorded","Missing evidence / issue")))</x:f>
        <x:v>Not run</x:v>
      </x:c>
    </x:row>
    <x:row r="22" ht="48" customHeight="1">
      <x:c r="A22" s="4" t="str">
        <x:v>REC-04-P</x:v>
      </x:c>
      <x:c r="B22" s="4" t="str">
        <x:v>Recruitment and Hiring</x:v>
      </x:c>
      <x:c r="C22" s="4" t="str">
        <x:v>P0</x:v>
      </x:c>
      <x:c r="D22" s="9" t="str"/>
      <x:c r="E22" s="9" t="str"/>
      <x:c r="F22" s="9" t="str">
        <x:v>Not run</x:v>
      </x:c>
      <x:c r="G22" s="9" t="str"/>
      <x:c r="H22" s="9" t="str"/>
      <x:c r="I22" s="9" t="str"/>
      <x:c r="J22" s="9" t="str"/>
      <x:c r="K22" s="10" t="str"/>
      <x:c r="L22" s="9" t="str"/>
      <x:c r="M22" s="9" t="str"/>
      <x:c r="N22" s="9" t="str"/>
      <x:c r="O22" s="4" t="str">
        <x:f>IF(F22="Not run","Not run",IF(F22="Not applicable",IF(AND(M22&lt;&gt;"",N22&lt;&gt;""),"Review disposition","Missing N/A approval"),IF(AND(D22&lt;&gt;"",E22&lt;&gt;"",G22&lt;&gt;"",H22&lt;&gt;"",K22&lt;&gt;"",L22&lt;&gt;"",N22&lt;&gt;"",OR(F22="Pass",I22&lt;&gt;"")),"Recorded","Missing evidence / issue")))</x:f>
        <x:v>Not run</x:v>
      </x:c>
    </x:row>
    <x:row r="23" ht="48" customHeight="1">
      <x:c r="A23" s="4" t="str">
        <x:v>REC-04-C</x:v>
      </x:c>
      <x:c r="B23" s="4" t="str">
        <x:v>Recruitment and Hiring</x:v>
      </x:c>
      <x:c r="C23" s="4" t="str">
        <x:v>P0</x:v>
      </x:c>
      <x:c r="D23" s="9" t="str"/>
      <x:c r="E23" s="9" t="str"/>
      <x:c r="F23" s="9" t="str">
        <x:v>Not run</x:v>
      </x:c>
      <x:c r="G23" s="9" t="str"/>
      <x:c r="H23" s="9" t="str"/>
      <x:c r="I23" s="9" t="str"/>
      <x:c r="J23" s="9" t="str"/>
      <x:c r="K23" s="10" t="str"/>
      <x:c r="L23" s="9" t="str"/>
      <x:c r="M23" s="9" t="str"/>
      <x:c r="N23" s="9" t="str"/>
      <x:c r="O23" s="4" t="str">
        <x:f>IF(F23="Not run","Not run",IF(F23="Not applicable",IF(AND(M23&lt;&gt;"",N23&lt;&gt;""),"Review disposition","Missing N/A approval"),IF(AND(D23&lt;&gt;"",E23&lt;&gt;"",G23&lt;&gt;"",H23&lt;&gt;"",K23&lt;&gt;"",L23&lt;&gt;"",N23&lt;&gt;"",OR(F23="Pass",I23&lt;&gt;"")),"Recorded","Missing evidence / issue")))</x:f>
        <x:v>Not run</x:v>
      </x:c>
    </x:row>
    <x:row r="24" ht="48" customHeight="1">
      <x:c r="A24" s="4" t="str">
        <x:v>ATT-01-P</x:v>
      </x:c>
      <x:c r="B24" s="4" t="str">
        <x:v>Attendance and Workforce Scheduling</x:v>
      </x:c>
      <x:c r="C24" s="4" t="str">
        <x:v>P1</x:v>
      </x:c>
      <x:c r="D24" s="9" t="str"/>
      <x:c r="E24" s="9" t="str"/>
      <x:c r="F24" s="9" t="str">
        <x:v>Not run</x:v>
      </x:c>
      <x:c r="G24" s="9" t="str"/>
      <x:c r="H24" s="9" t="str"/>
      <x:c r="I24" s="9" t="str"/>
      <x:c r="J24" s="9" t="str"/>
      <x:c r="K24" s="10" t="str"/>
      <x:c r="L24" s="9" t="str"/>
      <x:c r="M24" s="9" t="str"/>
      <x:c r="N24" s="9" t="str"/>
      <x:c r="O24" s="4" t="str">
        <x:f>IF(F24="Not run","Not run",IF(F24="Not applicable",IF(AND(M24&lt;&gt;"",N24&lt;&gt;""),"Review disposition","Missing N/A approval"),IF(AND(D24&lt;&gt;"",E24&lt;&gt;"",G24&lt;&gt;"",H24&lt;&gt;"",K24&lt;&gt;"",L24&lt;&gt;"",N24&lt;&gt;"",OR(F24="Pass",I24&lt;&gt;"")),"Recorded","Missing evidence / issue")))</x:f>
        <x:v>Not run</x:v>
      </x:c>
    </x:row>
    <x:row r="25" ht="48" customHeight="1">
      <x:c r="A25" s="4" t="str">
        <x:v>ATT-01-C</x:v>
      </x:c>
      <x:c r="B25" s="4" t="str">
        <x:v>Attendance and Workforce Scheduling</x:v>
      </x:c>
      <x:c r="C25" s="4" t="str">
        <x:v>P1</x:v>
      </x:c>
      <x:c r="D25" s="9" t="str"/>
      <x:c r="E25" s="9" t="str"/>
      <x:c r="F25" s="9" t="str">
        <x:v>Not run</x:v>
      </x:c>
      <x:c r="G25" s="9" t="str"/>
      <x:c r="H25" s="9" t="str"/>
      <x:c r="I25" s="9" t="str"/>
      <x:c r="J25" s="9" t="str"/>
      <x:c r="K25" s="10" t="str"/>
      <x:c r="L25" s="9" t="str"/>
      <x:c r="M25" s="9" t="str"/>
      <x:c r="N25" s="9" t="str"/>
      <x:c r="O25" s="4" t="str">
        <x:f>IF(F25="Not run","Not run",IF(F25="Not applicable",IF(AND(M25&lt;&gt;"",N25&lt;&gt;""),"Review disposition","Missing N/A approval"),IF(AND(D25&lt;&gt;"",E25&lt;&gt;"",G25&lt;&gt;"",H25&lt;&gt;"",K25&lt;&gt;"",L25&lt;&gt;"",N25&lt;&gt;"",OR(F25="Pass",I25&lt;&gt;"")),"Recorded","Missing evidence / issue")))</x:f>
        <x:v>Not run</x:v>
      </x:c>
    </x:row>
    <x:row r="26" ht="48" customHeight="1">
      <x:c r="A26" s="4" t="str">
        <x:v>ATT-02-P</x:v>
      </x:c>
      <x:c r="B26" s="4" t="str">
        <x:v>Attendance and Workforce Scheduling</x:v>
      </x:c>
      <x:c r="C26" s="4" t="str">
        <x:v>P1</x:v>
      </x:c>
      <x:c r="D26" s="9" t="str"/>
      <x:c r="E26" s="9" t="str"/>
      <x:c r="F26" s="9" t="str">
        <x:v>Not run</x:v>
      </x:c>
      <x:c r="G26" s="9" t="str"/>
      <x:c r="H26" s="9" t="str"/>
      <x:c r="I26" s="9" t="str"/>
      <x:c r="J26" s="9" t="str"/>
      <x:c r="K26" s="10" t="str"/>
      <x:c r="L26" s="9" t="str"/>
      <x:c r="M26" s="9" t="str"/>
      <x:c r="N26" s="9" t="str"/>
      <x:c r="O26" s="4" t="str">
        <x:f>IF(F26="Not run","Not run",IF(F26="Not applicable",IF(AND(M26&lt;&gt;"",N26&lt;&gt;""),"Review disposition","Missing N/A approval"),IF(AND(D26&lt;&gt;"",E26&lt;&gt;"",G26&lt;&gt;"",H26&lt;&gt;"",K26&lt;&gt;"",L26&lt;&gt;"",N26&lt;&gt;"",OR(F26="Pass",I26&lt;&gt;"")),"Recorded","Missing evidence / issue")))</x:f>
        <x:v>Not run</x:v>
      </x:c>
    </x:row>
    <x:row r="27" ht="48" customHeight="1">
      <x:c r="A27" s="4" t="str">
        <x:v>ATT-02-C</x:v>
      </x:c>
      <x:c r="B27" s="4" t="str">
        <x:v>Attendance and Workforce Scheduling</x:v>
      </x:c>
      <x:c r="C27" s="4" t="str">
        <x:v>P1</x:v>
      </x:c>
      <x:c r="D27" s="9" t="str"/>
      <x:c r="E27" s="9" t="str"/>
      <x:c r="F27" s="9" t="str">
        <x:v>Not run</x:v>
      </x:c>
      <x:c r="G27" s="9" t="str"/>
      <x:c r="H27" s="9" t="str"/>
      <x:c r="I27" s="9" t="str"/>
      <x:c r="J27" s="9" t="str"/>
      <x:c r="K27" s="10" t="str"/>
      <x:c r="L27" s="9" t="str"/>
      <x:c r="M27" s="9" t="str"/>
      <x:c r="N27" s="9" t="str"/>
      <x:c r="O27" s="4" t="str">
        <x:f>IF(F27="Not run","Not run",IF(F27="Not applicable",IF(AND(M27&lt;&gt;"",N27&lt;&gt;""),"Review disposition","Missing N/A approval"),IF(AND(D27&lt;&gt;"",E27&lt;&gt;"",G27&lt;&gt;"",H27&lt;&gt;"",K27&lt;&gt;"",L27&lt;&gt;"",N27&lt;&gt;"",OR(F27="Pass",I27&lt;&gt;"")),"Recorded","Missing evidence / issue")))</x:f>
        <x:v>Not run</x:v>
      </x:c>
    </x:row>
    <x:row r="28" ht="48" customHeight="1">
      <x:c r="A28" s="4" t="str">
        <x:v>ATT-03-P</x:v>
      </x:c>
      <x:c r="B28" s="4" t="str">
        <x:v>Attendance and Workforce Scheduling</x:v>
      </x:c>
      <x:c r="C28" s="4" t="str">
        <x:v>P0</x:v>
      </x:c>
      <x:c r="D28" s="9" t="str"/>
      <x:c r="E28" s="9" t="str"/>
      <x:c r="F28" s="9" t="str">
        <x:v>Not run</x:v>
      </x:c>
      <x:c r="G28" s="9" t="str"/>
      <x:c r="H28" s="9" t="str"/>
      <x:c r="I28" s="9" t="str"/>
      <x:c r="J28" s="9" t="str"/>
      <x:c r="K28" s="10" t="str"/>
      <x:c r="L28" s="9" t="str"/>
      <x:c r="M28" s="9" t="str"/>
      <x:c r="N28" s="9" t="str"/>
      <x:c r="O28" s="4" t="str">
        <x:f>IF(F28="Not run","Not run",IF(F28="Not applicable",IF(AND(M28&lt;&gt;"",N28&lt;&gt;""),"Review disposition","Missing N/A approval"),IF(AND(D28&lt;&gt;"",E28&lt;&gt;"",G28&lt;&gt;"",H28&lt;&gt;"",K28&lt;&gt;"",L28&lt;&gt;"",N28&lt;&gt;"",OR(F28="Pass",I28&lt;&gt;"")),"Recorded","Missing evidence / issue")))</x:f>
        <x:v>Not run</x:v>
      </x:c>
    </x:row>
    <x:row r="29" ht="48" customHeight="1">
      <x:c r="A29" s="4" t="str">
        <x:v>ATT-03-C</x:v>
      </x:c>
      <x:c r="B29" s="4" t="str">
        <x:v>Attendance and Workforce Scheduling</x:v>
      </x:c>
      <x:c r="C29" s="4" t="str">
        <x:v>P0</x:v>
      </x:c>
      <x:c r="D29" s="9" t="str"/>
      <x:c r="E29" s="9" t="str"/>
      <x:c r="F29" s="9" t="str">
        <x:v>Not run</x:v>
      </x:c>
      <x:c r="G29" s="9" t="str"/>
      <x:c r="H29" s="9" t="str"/>
      <x:c r="I29" s="9" t="str"/>
      <x:c r="J29" s="9" t="str"/>
      <x:c r="K29" s="10" t="str"/>
      <x:c r="L29" s="9" t="str"/>
      <x:c r="M29" s="9" t="str"/>
      <x:c r="N29" s="9" t="str"/>
      <x:c r="O29" s="4" t="str">
        <x:f>IF(F29="Not run","Not run",IF(F29="Not applicable",IF(AND(M29&lt;&gt;"",N29&lt;&gt;""),"Review disposition","Missing N/A approval"),IF(AND(D29&lt;&gt;"",E29&lt;&gt;"",G29&lt;&gt;"",H29&lt;&gt;"",K29&lt;&gt;"",L29&lt;&gt;"",N29&lt;&gt;"",OR(F29="Pass",I29&lt;&gt;"")),"Recorded","Missing evidence / issue")))</x:f>
        <x:v>Not run</x:v>
      </x:c>
    </x:row>
    <x:row r="30" ht="48" customHeight="1">
      <x:c r="A30" s="4" t="str">
        <x:v>ATT-04-P</x:v>
      </x:c>
      <x:c r="B30" s="4" t="str">
        <x:v>Attendance and Workforce Scheduling</x:v>
      </x:c>
      <x:c r="C30" s="4" t="str">
        <x:v>P1</x:v>
      </x:c>
      <x:c r="D30" s="9" t="str"/>
      <x:c r="E30" s="9" t="str"/>
      <x:c r="F30" s="9" t="str">
        <x:v>Not run</x:v>
      </x:c>
      <x:c r="G30" s="9" t="str"/>
      <x:c r="H30" s="9" t="str"/>
      <x:c r="I30" s="9" t="str"/>
      <x:c r="J30" s="9" t="str"/>
      <x:c r="K30" s="10" t="str"/>
      <x:c r="L30" s="9" t="str"/>
      <x:c r="M30" s="9" t="str"/>
      <x:c r="N30" s="9" t="str"/>
      <x:c r="O30" s="4" t="str">
        <x:f>IF(F30="Not run","Not run",IF(F30="Not applicable",IF(AND(M30&lt;&gt;"",N30&lt;&gt;""),"Review disposition","Missing N/A approval"),IF(AND(D30&lt;&gt;"",E30&lt;&gt;"",G30&lt;&gt;"",H30&lt;&gt;"",K30&lt;&gt;"",L30&lt;&gt;"",N30&lt;&gt;"",OR(F30="Pass",I30&lt;&gt;"")),"Recorded","Missing evidence / issue")))</x:f>
        <x:v>Not run</x:v>
      </x:c>
    </x:row>
    <x:row r="31" ht="48" customHeight="1">
      <x:c r="A31" s="4" t="str">
        <x:v>ATT-04-C</x:v>
      </x:c>
      <x:c r="B31" s="4" t="str">
        <x:v>Attendance and Workforce Scheduling</x:v>
      </x:c>
      <x:c r="C31" s="4" t="str">
        <x:v>P1</x:v>
      </x:c>
      <x:c r="D31" s="9" t="str"/>
      <x:c r="E31" s="9" t="str"/>
      <x:c r="F31" s="9" t="str">
        <x:v>Not run</x:v>
      </x:c>
      <x:c r="G31" s="9" t="str"/>
      <x:c r="H31" s="9" t="str"/>
      <x:c r="I31" s="9" t="str"/>
      <x:c r="J31" s="9" t="str"/>
      <x:c r="K31" s="10" t="str"/>
      <x:c r="L31" s="9" t="str"/>
      <x:c r="M31" s="9" t="str"/>
      <x:c r="N31" s="9" t="str"/>
      <x:c r="O31" s="4" t="str">
        <x:f>IF(F31="Not run","Not run",IF(F31="Not applicable",IF(AND(M31&lt;&gt;"",N31&lt;&gt;""),"Review disposition","Missing N/A approval"),IF(AND(D31&lt;&gt;"",E31&lt;&gt;"",G31&lt;&gt;"",H31&lt;&gt;"",K31&lt;&gt;"",L31&lt;&gt;"",N31&lt;&gt;"",OR(F31="Pass",I31&lt;&gt;"")),"Recorded","Missing evidence / issue")))</x:f>
        <x:v>Not run</x:v>
      </x:c>
    </x:row>
    <x:row r="32" ht="48" customHeight="1">
      <x:c r="A32" s="4" t="str">
        <x:v>ATT-05-P</x:v>
      </x:c>
      <x:c r="B32" s="4" t="str">
        <x:v>Attendance and Workforce Scheduling</x:v>
      </x:c>
      <x:c r="C32" s="4" t="str">
        <x:v>P0</x:v>
      </x:c>
      <x:c r="D32" s="9" t="str"/>
      <x:c r="E32" s="9" t="str"/>
      <x:c r="F32" s="9" t="str">
        <x:v>Not run</x:v>
      </x:c>
      <x:c r="G32" s="9" t="str"/>
      <x:c r="H32" s="9" t="str"/>
      <x:c r="I32" s="9" t="str"/>
      <x:c r="J32" s="9" t="str"/>
      <x:c r="K32" s="10" t="str"/>
      <x:c r="L32" s="9" t="str"/>
      <x:c r="M32" s="9" t="str"/>
      <x:c r="N32" s="9" t="str"/>
      <x:c r="O32" s="4" t="str">
        <x:f>IF(F32="Not run","Not run",IF(F32="Not applicable",IF(AND(M32&lt;&gt;"",N32&lt;&gt;""),"Review disposition","Missing N/A approval"),IF(AND(D32&lt;&gt;"",E32&lt;&gt;"",G32&lt;&gt;"",H32&lt;&gt;"",K32&lt;&gt;"",L32&lt;&gt;"",N32&lt;&gt;"",OR(F32="Pass",I32&lt;&gt;"")),"Recorded","Missing evidence / issue")))</x:f>
        <x:v>Not run</x:v>
      </x:c>
    </x:row>
    <x:row r="33" ht="48" customHeight="1">
      <x:c r="A33" s="4" t="str">
        <x:v>ATT-05-C</x:v>
      </x:c>
      <x:c r="B33" s="4" t="str">
        <x:v>Attendance and Workforce Scheduling</x:v>
      </x:c>
      <x:c r="C33" s="4" t="str">
        <x:v>P0</x:v>
      </x:c>
      <x:c r="D33" s="9" t="str"/>
      <x:c r="E33" s="9" t="str"/>
      <x:c r="F33" s="9" t="str">
        <x:v>Not run</x:v>
      </x:c>
      <x:c r="G33" s="9" t="str"/>
      <x:c r="H33" s="9" t="str"/>
      <x:c r="I33" s="9" t="str"/>
      <x:c r="J33" s="9" t="str"/>
      <x:c r="K33" s="10" t="str"/>
      <x:c r="L33" s="9" t="str"/>
      <x:c r="M33" s="9" t="str"/>
      <x:c r="N33" s="9" t="str"/>
      <x:c r="O33" s="4" t="str">
        <x:f>IF(F33="Not run","Not run",IF(F33="Not applicable",IF(AND(M33&lt;&gt;"",N33&lt;&gt;""),"Review disposition","Missing N/A approval"),IF(AND(D33&lt;&gt;"",E33&lt;&gt;"",G33&lt;&gt;"",H33&lt;&gt;"",K33&lt;&gt;"",L33&lt;&gt;"",N33&lt;&gt;"",OR(F33="Pass",I33&lt;&gt;"")),"Recorded","Missing evidence / issue")))</x:f>
        <x:v>Not run</x:v>
      </x:c>
    </x:row>
    <x:row r="34" ht="48" customHeight="1">
      <x:c r="A34" s="4" t="str">
        <x:v>ATT-06-P</x:v>
      </x:c>
      <x:c r="B34" s="4" t="str">
        <x:v>Attendance and Workforce Scheduling</x:v>
      </x:c>
      <x:c r="C34" s="4" t="str">
        <x:v>P0</x:v>
      </x:c>
      <x:c r="D34" s="9" t="str"/>
      <x:c r="E34" s="9" t="str"/>
      <x:c r="F34" s="9" t="str">
        <x:v>Not run</x:v>
      </x:c>
      <x:c r="G34" s="9" t="str"/>
      <x:c r="H34" s="9" t="str"/>
      <x:c r="I34" s="9" t="str"/>
      <x:c r="J34" s="9" t="str"/>
      <x:c r="K34" s="10" t="str"/>
      <x:c r="L34" s="9" t="str"/>
      <x:c r="M34" s="9" t="str"/>
      <x:c r="N34" s="9" t="str"/>
      <x:c r="O34" s="4" t="str">
        <x:f>IF(F34="Not run","Not run",IF(F34="Not applicable",IF(AND(M34&lt;&gt;"",N34&lt;&gt;""),"Review disposition","Missing N/A approval"),IF(AND(D34&lt;&gt;"",E34&lt;&gt;"",G34&lt;&gt;"",H34&lt;&gt;"",K34&lt;&gt;"",L34&lt;&gt;"",N34&lt;&gt;"",OR(F34="Pass",I34&lt;&gt;"")),"Recorded","Missing evidence / issue")))</x:f>
        <x:v>Not run</x:v>
      </x:c>
    </x:row>
    <x:row r="35" ht="48" customHeight="1">
      <x:c r="A35" s="4" t="str">
        <x:v>ATT-06-C</x:v>
      </x:c>
      <x:c r="B35" s="4" t="str">
        <x:v>Attendance and Workforce Scheduling</x:v>
      </x:c>
      <x:c r="C35" s="4" t="str">
        <x:v>P0</x:v>
      </x:c>
      <x:c r="D35" s="9" t="str"/>
      <x:c r="E35" s="9" t="str"/>
      <x:c r="F35" s="9" t="str">
        <x:v>Not run</x:v>
      </x:c>
      <x:c r="G35" s="9" t="str"/>
      <x:c r="H35" s="9" t="str"/>
      <x:c r="I35" s="9" t="str"/>
      <x:c r="J35" s="9" t="str"/>
      <x:c r="K35" s="10" t="str"/>
      <x:c r="L35" s="9" t="str"/>
      <x:c r="M35" s="9" t="str"/>
      <x:c r="N35" s="9" t="str"/>
      <x:c r="O35" s="4" t="str">
        <x:f>IF(F35="Not run","Not run",IF(F35="Not applicable",IF(AND(M35&lt;&gt;"",N35&lt;&gt;""),"Review disposition","Missing N/A approval"),IF(AND(D35&lt;&gt;"",E35&lt;&gt;"",G35&lt;&gt;"",H35&lt;&gt;"",K35&lt;&gt;"",L35&lt;&gt;"",N35&lt;&gt;"",OR(F35="Pass",I35&lt;&gt;"")),"Recorded","Missing evidence / issue")))</x:f>
        <x:v>Not run</x:v>
      </x:c>
    </x:row>
    <x:row r="36" ht="48" customHeight="1">
      <x:c r="A36" s="4" t="str">
        <x:v>LEV-01-P</x:v>
      </x:c>
      <x:c r="B36" s="4" t="str">
        <x:v>Leave Management</x:v>
      </x:c>
      <x:c r="C36" s="4" t="str">
        <x:v>P0</x:v>
      </x:c>
      <x:c r="D36" s="9" t="str"/>
      <x:c r="E36" s="9" t="str"/>
      <x:c r="F36" s="9" t="str">
        <x:v>Not run</x:v>
      </x:c>
      <x:c r="G36" s="9" t="str"/>
      <x:c r="H36" s="9" t="str"/>
      <x:c r="I36" s="9" t="str"/>
      <x:c r="J36" s="9" t="str"/>
      <x:c r="K36" s="10" t="str"/>
      <x:c r="L36" s="9" t="str"/>
      <x:c r="M36" s="9" t="str"/>
      <x:c r="N36" s="9" t="str"/>
      <x:c r="O36" s="4" t="str">
        <x:f>IF(F36="Not run","Not run",IF(F36="Not applicable",IF(AND(M36&lt;&gt;"",N36&lt;&gt;""),"Review disposition","Missing N/A approval"),IF(AND(D36&lt;&gt;"",E36&lt;&gt;"",G36&lt;&gt;"",H36&lt;&gt;"",K36&lt;&gt;"",L36&lt;&gt;"",N36&lt;&gt;"",OR(F36="Pass",I36&lt;&gt;"")),"Recorded","Missing evidence / issue")))</x:f>
        <x:v>Not run</x:v>
      </x:c>
    </x:row>
    <x:row r="37" ht="48" customHeight="1">
      <x:c r="A37" s="4" t="str">
        <x:v>LEV-01-C</x:v>
      </x:c>
      <x:c r="B37" s="4" t="str">
        <x:v>Leave Management</x:v>
      </x:c>
      <x:c r="C37" s="4" t="str">
        <x:v>P0</x:v>
      </x:c>
      <x:c r="D37" s="9" t="str"/>
      <x:c r="E37" s="9" t="str"/>
      <x:c r="F37" s="9" t="str">
        <x:v>Not run</x:v>
      </x:c>
      <x:c r="G37" s="9" t="str"/>
      <x:c r="H37" s="9" t="str"/>
      <x:c r="I37" s="9" t="str"/>
      <x:c r="J37" s="9" t="str"/>
      <x:c r="K37" s="10" t="str"/>
      <x:c r="L37" s="9" t="str"/>
      <x:c r="M37" s="9" t="str"/>
      <x:c r="N37" s="9" t="str"/>
      <x:c r="O37" s="4" t="str">
        <x:f>IF(F37="Not run","Not run",IF(F37="Not applicable",IF(AND(M37&lt;&gt;"",N37&lt;&gt;""),"Review disposition","Missing N/A approval"),IF(AND(D37&lt;&gt;"",E37&lt;&gt;"",G37&lt;&gt;"",H37&lt;&gt;"",K37&lt;&gt;"",L37&lt;&gt;"",N37&lt;&gt;"",OR(F37="Pass",I37&lt;&gt;"")),"Recorded","Missing evidence / issue")))</x:f>
        <x:v>Not run</x:v>
      </x:c>
    </x:row>
    <x:row r="38" ht="48" customHeight="1">
      <x:c r="A38" s="4" t="str">
        <x:v>LEV-02-P</x:v>
      </x:c>
      <x:c r="B38" s="4" t="str">
        <x:v>Leave Management</x:v>
      </x:c>
      <x:c r="C38" s="4" t="str">
        <x:v>P0</x:v>
      </x:c>
      <x:c r="D38" s="9" t="str"/>
      <x:c r="E38" s="9" t="str"/>
      <x:c r="F38" s="9" t="str">
        <x:v>Not run</x:v>
      </x:c>
      <x:c r="G38" s="9" t="str"/>
      <x:c r="H38" s="9" t="str"/>
      <x:c r="I38" s="9" t="str"/>
      <x:c r="J38" s="9" t="str"/>
      <x:c r="K38" s="10" t="str"/>
      <x:c r="L38" s="9" t="str"/>
      <x:c r="M38" s="9" t="str"/>
      <x:c r="N38" s="9" t="str"/>
      <x:c r="O38" s="4" t="str">
        <x:f>IF(F38="Not run","Not run",IF(F38="Not applicable",IF(AND(M38&lt;&gt;"",N38&lt;&gt;""),"Review disposition","Missing N/A approval"),IF(AND(D38&lt;&gt;"",E38&lt;&gt;"",G38&lt;&gt;"",H38&lt;&gt;"",K38&lt;&gt;"",L38&lt;&gt;"",N38&lt;&gt;"",OR(F38="Pass",I38&lt;&gt;"")),"Recorded","Missing evidence / issue")))</x:f>
        <x:v>Not run</x:v>
      </x:c>
    </x:row>
    <x:row r="39" ht="48" customHeight="1">
      <x:c r="A39" s="4" t="str">
        <x:v>LEV-02-C</x:v>
      </x:c>
      <x:c r="B39" s="4" t="str">
        <x:v>Leave Management</x:v>
      </x:c>
      <x:c r="C39" s="4" t="str">
        <x:v>P0</x:v>
      </x:c>
      <x:c r="D39" s="9" t="str"/>
      <x:c r="E39" s="9" t="str"/>
      <x:c r="F39" s="9" t="str">
        <x:v>Not run</x:v>
      </x:c>
      <x:c r="G39" s="9" t="str"/>
      <x:c r="H39" s="9" t="str"/>
      <x:c r="I39" s="9" t="str"/>
      <x:c r="J39" s="9" t="str"/>
      <x:c r="K39" s="10" t="str"/>
      <x:c r="L39" s="9" t="str"/>
      <x:c r="M39" s="9" t="str"/>
      <x:c r="N39" s="9" t="str"/>
      <x:c r="O39" s="4" t="str">
        <x:f>IF(F39="Not run","Not run",IF(F39="Not applicable",IF(AND(M39&lt;&gt;"",N39&lt;&gt;""),"Review disposition","Missing N/A approval"),IF(AND(D39&lt;&gt;"",E39&lt;&gt;"",G39&lt;&gt;"",H39&lt;&gt;"",K39&lt;&gt;"",L39&lt;&gt;"",N39&lt;&gt;"",OR(F39="Pass",I39&lt;&gt;"")),"Recorded","Missing evidence / issue")))</x:f>
        <x:v>Not run</x:v>
      </x:c>
    </x:row>
    <x:row r="40" ht="48" customHeight="1">
      <x:c r="A40" s="4" t="str">
        <x:v>LEV-03-P</x:v>
      </x:c>
      <x:c r="B40" s="4" t="str">
        <x:v>Leave Management</x:v>
      </x:c>
      <x:c r="C40" s="4" t="str">
        <x:v>P0</x:v>
      </x:c>
      <x:c r="D40" s="9" t="str"/>
      <x:c r="E40" s="9" t="str"/>
      <x:c r="F40" s="9" t="str">
        <x:v>Not run</x:v>
      </x:c>
      <x:c r="G40" s="9" t="str"/>
      <x:c r="H40" s="9" t="str"/>
      <x:c r="I40" s="9" t="str"/>
      <x:c r="J40" s="9" t="str"/>
      <x:c r="K40" s="10" t="str"/>
      <x:c r="L40" s="9" t="str"/>
      <x:c r="M40" s="9" t="str"/>
      <x:c r="N40" s="9" t="str"/>
      <x:c r="O40" s="4" t="str">
        <x:f>IF(F40="Not run","Not run",IF(F40="Not applicable",IF(AND(M40&lt;&gt;"",N40&lt;&gt;""),"Review disposition","Missing N/A approval"),IF(AND(D40&lt;&gt;"",E40&lt;&gt;"",G40&lt;&gt;"",H40&lt;&gt;"",K40&lt;&gt;"",L40&lt;&gt;"",N40&lt;&gt;"",OR(F40="Pass",I40&lt;&gt;"")),"Recorded","Missing evidence / issue")))</x:f>
        <x:v>Not run</x:v>
      </x:c>
    </x:row>
    <x:row r="41" ht="48" customHeight="1">
      <x:c r="A41" s="4" t="str">
        <x:v>LEV-03-C</x:v>
      </x:c>
      <x:c r="B41" s="4" t="str">
        <x:v>Leave Management</x:v>
      </x:c>
      <x:c r="C41" s="4" t="str">
        <x:v>P0</x:v>
      </x:c>
      <x:c r="D41" s="9" t="str"/>
      <x:c r="E41" s="9" t="str"/>
      <x:c r="F41" s="9" t="str">
        <x:v>Not run</x:v>
      </x:c>
      <x:c r="G41" s="9" t="str"/>
      <x:c r="H41" s="9" t="str"/>
      <x:c r="I41" s="9" t="str"/>
      <x:c r="J41" s="9" t="str"/>
      <x:c r="K41" s="10" t="str"/>
      <x:c r="L41" s="9" t="str"/>
      <x:c r="M41" s="9" t="str"/>
      <x:c r="N41" s="9" t="str"/>
      <x:c r="O41" s="4" t="str">
        <x:f>IF(F41="Not run","Not run",IF(F41="Not applicable",IF(AND(M41&lt;&gt;"",N41&lt;&gt;""),"Review disposition","Missing N/A approval"),IF(AND(D41&lt;&gt;"",E41&lt;&gt;"",G41&lt;&gt;"",H41&lt;&gt;"",K41&lt;&gt;"",L41&lt;&gt;"",N41&lt;&gt;"",OR(F41="Pass",I41&lt;&gt;"")),"Recorded","Missing evidence / issue")))</x:f>
        <x:v>Not run</x:v>
      </x:c>
    </x:row>
    <x:row r="42" ht="48" customHeight="1">
      <x:c r="A42" s="4" t="str">
        <x:v>LEV-04-P</x:v>
      </x:c>
      <x:c r="B42" s="4" t="str">
        <x:v>Leave Management</x:v>
      </x:c>
      <x:c r="C42" s="4" t="str">
        <x:v>P1</x:v>
      </x:c>
      <x:c r="D42" s="9" t="str"/>
      <x:c r="E42" s="9" t="str"/>
      <x:c r="F42" s="9" t="str">
        <x:v>Not run</x:v>
      </x:c>
      <x:c r="G42" s="9" t="str"/>
      <x:c r="H42" s="9" t="str"/>
      <x:c r="I42" s="9" t="str"/>
      <x:c r="J42" s="9" t="str"/>
      <x:c r="K42" s="10" t="str"/>
      <x:c r="L42" s="9" t="str"/>
      <x:c r="M42" s="9" t="str"/>
      <x:c r="N42" s="9" t="str"/>
      <x:c r="O42" s="4" t="str">
        <x:f>IF(F42="Not run","Not run",IF(F42="Not applicable",IF(AND(M42&lt;&gt;"",N42&lt;&gt;""),"Review disposition","Missing N/A approval"),IF(AND(D42&lt;&gt;"",E42&lt;&gt;"",G42&lt;&gt;"",H42&lt;&gt;"",K42&lt;&gt;"",L42&lt;&gt;"",N42&lt;&gt;"",OR(F42="Pass",I42&lt;&gt;"")),"Recorded","Missing evidence / issue")))</x:f>
        <x:v>Not run</x:v>
      </x:c>
    </x:row>
    <x:row r="43" ht="48" customHeight="1">
      <x:c r="A43" s="4" t="str">
        <x:v>LEV-04-C</x:v>
      </x:c>
      <x:c r="B43" s="4" t="str">
        <x:v>Leave Management</x:v>
      </x:c>
      <x:c r="C43" s="4" t="str">
        <x:v>P1</x:v>
      </x:c>
      <x:c r="D43" s="9" t="str"/>
      <x:c r="E43" s="9" t="str"/>
      <x:c r="F43" s="9" t="str">
        <x:v>Not run</x:v>
      </x:c>
      <x:c r="G43" s="9" t="str"/>
      <x:c r="H43" s="9" t="str"/>
      <x:c r="I43" s="9" t="str"/>
      <x:c r="J43" s="9" t="str"/>
      <x:c r="K43" s="10" t="str"/>
      <x:c r="L43" s="9" t="str"/>
      <x:c r="M43" s="9" t="str"/>
      <x:c r="N43" s="9" t="str"/>
      <x:c r="O43" s="4" t="str">
        <x:f>IF(F43="Not run","Not run",IF(F43="Not applicable",IF(AND(M43&lt;&gt;"",N43&lt;&gt;""),"Review disposition","Missing N/A approval"),IF(AND(D43&lt;&gt;"",E43&lt;&gt;"",G43&lt;&gt;"",H43&lt;&gt;"",K43&lt;&gt;"",L43&lt;&gt;"",N43&lt;&gt;"",OR(F43="Pass",I43&lt;&gt;"")),"Recorded","Missing evidence / issue")))</x:f>
        <x:v>Not run</x:v>
      </x:c>
    </x:row>
    <x:row r="44" ht="48" customHeight="1">
      <x:c r="A44" s="4" t="str">
        <x:v>LEV-05-P</x:v>
      </x:c>
      <x:c r="B44" s="4" t="str">
        <x:v>Leave Management</x:v>
      </x:c>
      <x:c r="C44" s="4" t="str">
        <x:v>P0</x:v>
      </x:c>
      <x:c r="D44" s="9" t="str"/>
      <x:c r="E44" s="9" t="str"/>
      <x:c r="F44" s="9" t="str">
        <x:v>Not run</x:v>
      </x:c>
      <x:c r="G44" s="9" t="str"/>
      <x:c r="H44" s="9" t="str"/>
      <x:c r="I44" s="9" t="str"/>
      <x:c r="J44" s="9" t="str"/>
      <x:c r="K44" s="10" t="str"/>
      <x:c r="L44" s="9" t="str"/>
      <x:c r="M44" s="9" t="str"/>
      <x:c r="N44" s="9" t="str"/>
      <x:c r="O44" s="4" t="str">
        <x:f>IF(F44="Not run","Not run",IF(F44="Not applicable",IF(AND(M44&lt;&gt;"",N44&lt;&gt;""),"Review disposition","Missing N/A approval"),IF(AND(D44&lt;&gt;"",E44&lt;&gt;"",G44&lt;&gt;"",H44&lt;&gt;"",K44&lt;&gt;"",L44&lt;&gt;"",N44&lt;&gt;"",OR(F44="Pass",I44&lt;&gt;"")),"Recorded","Missing evidence / issue")))</x:f>
        <x:v>Not run</x:v>
      </x:c>
    </x:row>
    <x:row r="45" ht="48" customHeight="1">
      <x:c r="A45" s="4" t="str">
        <x:v>LEV-05-C</x:v>
      </x:c>
      <x:c r="B45" s="4" t="str">
        <x:v>Leave Management</x:v>
      </x:c>
      <x:c r="C45" s="4" t="str">
        <x:v>P0</x:v>
      </x:c>
      <x:c r="D45" s="9" t="str"/>
      <x:c r="E45" s="9" t="str"/>
      <x:c r="F45" s="9" t="str">
        <x:v>Not run</x:v>
      </x:c>
      <x:c r="G45" s="9" t="str"/>
      <x:c r="H45" s="9" t="str"/>
      <x:c r="I45" s="9" t="str"/>
      <x:c r="J45" s="9" t="str"/>
      <x:c r="K45" s="10" t="str"/>
      <x:c r="L45" s="9" t="str"/>
      <x:c r="M45" s="9" t="str"/>
      <x:c r="N45" s="9" t="str"/>
      <x:c r="O45" s="4" t="str">
        <x:f>IF(F45="Not run","Not run",IF(F45="Not applicable",IF(AND(M45&lt;&gt;"",N45&lt;&gt;""),"Review disposition","Missing N/A approval"),IF(AND(D45&lt;&gt;"",E45&lt;&gt;"",G45&lt;&gt;"",H45&lt;&gt;"",K45&lt;&gt;"",L45&lt;&gt;"",N45&lt;&gt;"",OR(F45="Pass",I45&lt;&gt;"")),"Recorded","Missing evidence / issue")))</x:f>
        <x:v>Not run</x:v>
      </x:c>
    </x:row>
    <x:row r="46" ht="48" customHeight="1">
      <x:c r="A46" s="4" t="str">
        <x:v>PAY-01-P</x:v>
      </x:c>
      <x:c r="B46" s="4" t="str">
        <x:v>Payroll and Compensation</x:v>
      </x:c>
      <x:c r="C46" s="4" t="str">
        <x:v>P0</x:v>
      </x:c>
      <x:c r="D46" s="9" t="str"/>
      <x:c r="E46" s="9" t="str"/>
      <x:c r="F46" s="9" t="str">
        <x:v>Not run</x:v>
      </x:c>
      <x:c r="G46" s="9" t="str"/>
      <x:c r="H46" s="9" t="str"/>
      <x:c r="I46" s="9" t="str"/>
      <x:c r="J46" s="9" t="str"/>
      <x:c r="K46" s="10" t="str"/>
      <x:c r="L46" s="9" t="str"/>
      <x:c r="M46" s="9" t="str"/>
      <x:c r="N46" s="9" t="str"/>
      <x:c r="O46" s="4" t="str">
        <x:f>IF(F46="Not run","Not run",IF(F46="Not applicable",IF(AND(M46&lt;&gt;"",N46&lt;&gt;""),"Review disposition","Missing N/A approval"),IF(AND(D46&lt;&gt;"",E46&lt;&gt;"",G46&lt;&gt;"",H46&lt;&gt;"",K46&lt;&gt;"",L46&lt;&gt;"",N46&lt;&gt;"",OR(F46="Pass",I46&lt;&gt;"")),"Recorded","Missing evidence / issue")))</x:f>
        <x:v>Not run</x:v>
      </x:c>
    </x:row>
    <x:row r="47" ht="48" customHeight="1">
      <x:c r="A47" s="4" t="str">
        <x:v>PAY-01-C</x:v>
      </x:c>
      <x:c r="B47" s="4" t="str">
        <x:v>Payroll and Compensation</x:v>
      </x:c>
      <x:c r="C47" s="4" t="str">
        <x:v>P0</x:v>
      </x:c>
      <x:c r="D47" s="9" t="str"/>
      <x:c r="E47" s="9" t="str"/>
      <x:c r="F47" s="9" t="str">
        <x:v>Not run</x:v>
      </x:c>
      <x:c r="G47" s="9" t="str"/>
      <x:c r="H47" s="9" t="str"/>
      <x:c r="I47" s="9" t="str"/>
      <x:c r="J47" s="9" t="str"/>
      <x:c r="K47" s="10" t="str"/>
      <x:c r="L47" s="9" t="str"/>
      <x:c r="M47" s="9" t="str"/>
      <x:c r="N47" s="9" t="str"/>
      <x:c r="O47" s="4" t="str">
        <x:f>IF(F47="Not run","Not run",IF(F47="Not applicable",IF(AND(M47&lt;&gt;"",N47&lt;&gt;""),"Review disposition","Missing N/A approval"),IF(AND(D47&lt;&gt;"",E47&lt;&gt;"",G47&lt;&gt;"",H47&lt;&gt;"",K47&lt;&gt;"",L47&lt;&gt;"",N47&lt;&gt;"",OR(F47="Pass",I47&lt;&gt;"")),"Recorded","Missing evidence / issue")))</x:f>
        <x:v>Not run</x:v>
      </x:c>
    </x:row>
    <x:row r="48" ht="48" customHeight="1">
      <x:c r="A48" s="4" t="str">
        <x:v>PAY-02-P</x:v>
      </x:c>
      <x:c r="B48" s="4" t="str">
        <x:v>Payroll and Compensation</x:v>
      </x:c>
      <x:c r="C48" s="4" t="str">
        <x:v>P0</x:v>
      </x:c>
      <x:c r="D48" s="9" t="str"/>
      <x:c r="E48" s="9" t="str"/>
      <x:c r="F48" s="9" t="str">
        <x:v>Not run</x:v>
      </x:c>
      <x:c r="G48" s="9" t="str"/>
      <x:c r="H48" s="9" t="str"/>
      <x:c r="I48" s="9" t="str"/>
      <x:c r="J48" s="9" t="str"/>
      <x:c r="K48" s="10" t="str"/>
      <x:c r="L48" s="9" t="str"/>
      <x:c r="M48" s="9" t="str"/>
      <x:c r="N48" s="9" t="str"/>
      <x:c r="O48" s="4" t="str">
        <x:f>IF(F48="Not run","Not run",IF(F48="Not applicable",IF(AND(M48&lt;&gt;"",N48&lt;&gt;""),"Review disposition","Missing N/A approval"),IF(AND(D48&lt;&gt;"",E48&lt;&gt;"",G48&lt;&gt;"",H48&lt;&gt;"",K48&lt;&gt;"",L48&lt;&gt;"",N48&lt;&gt;"",OR(F48="Pass",I48&lt;&gt;"")),"Recorded","Missing evidence / issue")))</x:f>
        <x:v>Not run</x:v>
      </x:c>
    </x:row>
    <x:row r="49" ht="48" customHeight="1">
      <x:c r="A49" s="4" t="str">
        <x:v>PAY-02-C</x:v>
      </x:c>
      <x:c r="B49" s="4" t="str">
        <x:v>Payroll and Compensation</x:v>
      </x:c>
      <x:c r="C49" s="4" t="str">
        <x:v>P0</x:v>
      </x:c>
      <x:c r="D49" s="9" t="str"/>
      <x:c r="E49" s="9" t="str"/>
      <x:c r="F49" s="9" t="str">
        <x:v>Not run</x:v>
      </x:c>
      <x:c r="G49" s="9" t="str"/>
      <x:c r="H49" s="9" t="str"/>
      <x:c r="I49" s="9" t="str"/>
      <x:c r="J49" s="9" t="str"/>
      <x:c r="K49" s="10" t="str"/>
      <x:c r="L49" s="9" t="str"/>
      <x:c r="M49" s="9" t="str"/>
      <x:c r="N49" s="9" t="str"/>
      <x:c r="O49" s="4" t="str">
        <x:f>IF(F49="Not run","Not run",IF(F49="Not applicable",IF(AND(M49&lt;&gt;"",N49&lt;&gt;""),"Review disposition","Missing N/A approval"),IF(AND(D49&lt;&gt;"",E49&lt;&gt;"",G49&lt;&gt;"",H49&lt;&gt;"",K49&lt;&gt;"",L49&lt;&gt;"",N49&lt;&gt;"",OR(F49="Pass",I49&lt;&gt;"")),"Recorded","Missing evidence / issue")))</x:f>
        <x:v>Not run</x:v>
      </x:c>
    </x:row>
    <x:row r="50" ht="48" customHeight="1">
      <x:c r="A50" s="4" t="str">
        <x:v>PAY-03-P</x:v>
      </x:c>
      <x:c r="B50" s="4" t="str">
        <x:v>Payroll and Compensation</x:v>
      </x:c>
      <x:c r="C50" s="4" t="str">
        <x:v>P0</x:v>
      </x:c>
      <x:c r="D50" s="9" t="str"/>
      <x:c r="E50" s="9" t="str"/>
      <x:c r="F50" s="9" t="str">
        <x:v>Not run</x:v>
      </x:c>
      <x:c r="G50" s="9" t="str"/>
      <x:c r="H50" s="9" t="str"/>
      <x:c r="I50" s="9" t="str"/>
      <x:c r="J50" s="9" t="str"/>
      <x:c r="K50" s="10" t="str"/>
      <x:c r="L50" s="9" t="str"/>
      <x:c r="M50" s="9" t="str"/>
      <x:c r="N50" s="9" t="str"/>
      <x:c r="O50" s="4" t="str">
        <x:f>IF(F50="Not run","Not run",IF(F50="Not applicable",IF(AND(M50&lt;&gt;"",N50&lt;&gt;""),"Review disposition","Missing N/A approval"),IF(AND(D50&lt;&gt;"",E50&lt;&gt;"",G50&lt;&gt;"",H50&lt;&gt;"",K50&lt;&gt;"",L50&lt;&gt;"",N50&lt;&gt;"",OR(F50="Pass",I50&lt;&gt;"")),"Recorded","Missing evidence / issue")))</x:f>
        <x:v>Not run</x:v>
      </x:c>
    </x:row>
    <x:row r="51" ht="48" customHeight="1">
      <x:c r="A51" s="4" t="str">
        <x:v>PAY-03-C</x:v>
      </x:c>
      <x:c r="B51" s="4" t="str">
        <x:v>Payroll and Compensation</x:v>
      </x:c>
      <x:c r="C51" s="4" t="str">
        <x:v>P0</x:v>
      </x:c>
      <x:c r="D51" s="9" t="str"/>
      <x:c r="E51" s="9" t="str"/>
      <x:c r="F51" s="9" t="str">
        <x:v>Not run</x:v>
      </x:c>
      <x:c r="G51" s="9" t="str"/>
      <x:c r="H51" s="9" t="str"/>
      <x:c r="I51" s="9" t="str"/>
      <x:c r="J51" s="9" t="str"/>
      <x:c r="K51" s="10" t="str"/>
      <x:c r="L51" s="9" t="str"/>
      <x:c r="M51" s="9" t="str"/>
      <x:c r="N51" s="9" t="str"/>
      <x:c r="O51" s="4" t="str">
        <x:f>IF(F51="Not run","Not run",IF(F51="Not applicable",IF(AND(M51&lt;&gt;"",N51&lt;&gt;""),"Review disposition","Missing N/A approval"),IF(AND(D51&lt;&gt;"",E51&lt;&gt;"",G51&lt;&gt;"",H51&lt;&gt;"",K51&lt;&gt;"",L51&lt;&gt;"",N51&lt;&gt;"",OR(F51="Pass",I51&lt;&gt;"")),"Recorded","Missing evidence / issue")))</x:f>
        <x:v>Not run</x:v>
      </x:c>
    </x:row>
    <x:row r="52" ht="48" customHeight="1">
      <x:c r="A52" s="4" t="str">
        <x:v>PAY-04-P</x:v>
      </x:c>
      <x:c r="B52" s="4" t="str">
        <x:v>Payroll and Compensation</x:v>
      </x:c>
      <x:c r="C52" s="4" t="str">
        <x:v>P0</x:v>
      </x:c>
      <x:c r="D52" s="9" t="str"/>
      <x:c r="E52" s="9" t="str"/>
      <x:c r="F52" s="9" t="str">
        <x:v>Not run</x:v>
      </x:c>
      <x:c r="G52" s="9" t="str"/>
      <x:c r="H52" s="9" t="str"/>
      <x:c r="I52" s="9" t="str"/>
      <x:c r="J52" s="9" t="str"/>
      <x:c r="K52" s="10" t="str"/>
      <x:c r="L52" s="9" t="str"/>
      <x:c r="M52" s="9" t="str"/>
      <x:c r="N52" s="9" t="str"/>
      <x:c r="O52" s="4" t="str">
        <x:f>IF(F52="Not run","Not run",IF(F52="Not applicable",IF(AND(M52&lt;&gt;"",N52&lt;&gt;""),"Review disposition","Missing N/A approval"),IF(AND(D52&lt;&gt;"",E52&lt;&gt;"",G52&lt;&gt;"",H52&lt;&gt;"",K52&lt;&gt;"",L52&lt;&gt;"",N52&lt;&gt;"",OR(F52="Pass",I52&lt;&gt;"")),"Recorded","Missing evidence / issue")))</x:f>
        <x:v>Not run</x:v>
      </x:c>
    </x:row>
    <x:row r="53" ht="48" customHeight="1">
      <x:c r="A53" s="4" t="str">
        <x:v>PAY-04-C</x:v>
      </x:c>
      <x:c r="B53" s="4" t="str">
        <x:v>Payroll and Compensation</x:v>
      </x:c>
      <x:c r="C53" s="4" t="str">
        <x:v>P0</x:v>
      </x:c>
      <x:c r="D53" s="9" t="str"/>
      <x:c r="E53" s="9" t="str"/>
      <x:c r="F53" s="9" t="str">
        <x:v>Not run</x:v>
      </x:c>
      <x:c r="G53" s="9" t="str"/>
      <x:c r="H53" s="9" t="str"/>
      <x:c r="I53" s="9" t="str"/>
      <x:c r="J53" s="9" t="str"/>
      <x:c r="K53" s="10" t="str"/>
      <x:c r="L53" s="9" t="str"/>
      <x:c r="M53" s="9" t="str"/>
      <x:c r="N53" s="9" t="str"/>
      <x:c r="O53" s="4" t="str">
        <x:f>IF(F53="Not run","Not run",IF(F53="Not applicable",IF(AND(M53&lt;&gt;"",N53&lt;&gt;""),"Review disposition","Missing N/A approval"),IF(AND(D53&lt;&gt;"",E53&lt;&gt;"",G53&lt;&gt;"",H53&lt;&gt;"",K53&lt;&gt;"",L53&lt;&gt;"",N53&lt;&gt;"",OR(F53="Pass",I53&lt;&gt;"")),"Recorded","Missing evidence / issue")))</x:f>
        <x:v>Not run</x:v>
      </x:c>
    </x:row>
    <x:row r="54" ht="48" customHeight="1">
      <x:c r="A54" s="4" t="str">
        <x:v>PAY-05-P</x:v>
      </x:c>
      <x:c r="B54" s="4" t="str">
        <x:v>Payroll and Compensation</x:v>
      </x:c>
      <x:c r="C54" s="4" t="str">
        <x:v>P0</x:v>
      </x:c>
      <x:c r="D54" s="9" t="str"/>
      <x:c r="E54" s="9" t="str"/>
      <x:c r="F54" s="9" t="str">
        <x:v>Not run</x:v>
      </x:c>
      <x:c r="G54" s="9" t="str"/>
      <x:c r="H54" s="9" t="str"/>
      <x:c r="I54" s="9" t="str"/>
      <x:c r="J54" s="9" t="str"/>
      <x:c r="K54" s="10" t="str"/>
      <x:c r="L54" s="9" t="str"/>
      <x:c r="M54" s="9" t="str"/>
      <x:c r="N54" s="9" t="str"/>
      <x:c r="O54" s="4" t="str">
        <x:f>IF(F54="Not run","Not run",IF(F54="Not applicable",IF(AND(M54&lt;&gt;"",N54&lt;&gt;""),"Review disposition","Missing N/A approval"),IF(AND(D54&lt;&gt;"",E54&lt;&gt;"",G54&lt;&gt;"",H54&lt;&gt;"",K54&lt;&gt;"",L54&lt;&gt;"",N54&lt;&gt;"",OR(F54="Pass",I54&lt;&gt;"")),"Recorded","Missing evidence / issue")))</x:f>
        <x:v>Not run</x:v>
      </x:c>
    </x:row>
    <x:row r="55" ht="48" customHeight="1">
      <x:c r="A55" s="4" t="str">
        <x:v>PAY-05-C</x:v>
      </x:c>
      <x:c r="B55" s="4" t="str">
        <x:v>Payroll and Compensation</x:v>
      </x:c>
      <x:c r="C55" s="4" t="str">
        <x:v>P0</x:v>
      </x:c>
      <x:c r="D55" s="9" t="str"/>
      <x:c r="E55" s="9" t="str"/>
      <x:c r="F55" s="9" t="str">
        <x:v>Not run</x:v>
      </x:c>
      <x:c r="G55" s="9" t="str"/>
      <x:c r="H55" s="9" t="str"/>
      <x:c r="I55" s="9" t="str"/>
      <x:c r="J55" s="9" t="str"/>
      <x:c r="K55" s="10" t="str"/>
      <x:c r="L55" s="9" t="str"/>
      <x:c r="M55" s="9" t="str"/>
      <x:c r="N55" s="9" t="str"/>
      <x:c r="O55" s="4" t="str">
        <x:f>IF(F55="Not run","Not run",IF(F55="Not applicable",IF(AND(M55&lt;&gt;"",N55&lt;&gt;""),"Review disposition","Missing N/A approval"),IF(AND(D55&lt;&gt;"",E55&lt;&gt;"",G55&lt;&gt;"",H55&lt;&gt;"",K55&lt;&gt;"",L55&lt;&gt;"",N55&lt;&gt;"",OR(F55="Pass",I55&lt;&gt;"")),"Recorded","Missing evidence / issue")))</x:f>
        <x:v>Not run</x:v>
      </x:c>
    </x:row>
    <x:row r="56" ht="48" customHeight="1">
      <x:c r="A56" s="4" t="str">
        <x:v>PAY-06-P</x:v>
      </x:c>
      <x:c r="B56" s="4" t="str">
        <x:v>Payroll and Compensation</x:v>
      </x:c>
      <x:c r="C56" s="4" t="str">
        <x:v>P0</x:v>
      </x:c>
      <x:c r="D56" s="9" t="str"/>
      <x:c r="E56" s="9" t="str"/>
      <x:c r="F56" s="9" t="str">
        <x:v>Not run</x:v>
      </x:c>
      <x:c r="G56" s="9" t="str"/>
      <x:c r="H56" s="9" t="str"/>
      <x:c r="I56" s="9" t="str"/>
      <x:c r="J56" s="9" t="str"/>
      <x:c r="K56" s="10" t="str"/>
      <x:c r="L56" s="9" t="str"/>
      <x:c r="M56" s="9" t="str"/>
      <x:c r="N56" s="9" t="str"/>
      <x:c r="O56" s="4" t="str">
        <x:f>IF(F56="Not run","Not run",IF(F56="Not applicable",IF(AND(M56&lt;&gt;"",N56&lt;&gt;""),"Review disposition","Missing N/A approval"),IF(AND(D56&lt;&gt;"",E56&lt;&gt;"",G56&lt;&gt;"",H56&lt;&gt;"",K56&lt;&gt;"",L56&lt;&gt;"",N56&lt;&gt;"",OR(F56="Pass",I56&lt;&gt;"")),"Recorded","Missing evidence / issue")))</x:f>
        <x:v>Not run</x:v>
      </x:c>
    </x:row>
    <x:row r="57" ht="48" customHeight="1">
      <x:c r="A57" s="4" t="str">
        <x:v>PAY-06-C</x:v>
      </x:c>
      <x:c r="B57" s="4" t="str">
        <x:v>Payroll and Compensation</x:v>
      </x:c>
      <x:c r="C57" s="4" t="str">
        <x:v>P0</x:v>
      </x:c>
      <x:c r="D57" s="9" t="str"/>
      <x:c r="E57" s="9" t="str"/>
      <x:c r="F57" s="9" t="str">
        <x:v>Not run</x:v>
      </x:c>
      <x:c r="G57" s="9" t="str"/>
      <x:c r="H57" s="9" t="str"/>
      <x:c r="I57" s="9" t="str"/>
      <x:c r="J57" s="9" t="str"/>
      <x:c r="K57" s="10" t="str"/>
      <x:c r="L57" s="9" t="str"/>
      <x:c r="M57" s="9" t="str"/>
      <x:c r="N57" s="9" t="str"/>
      <x:c r="O57" s="4" t="str">
        <x:f>IF(F57="Not run","Not run",IF(F57="Not applicable",IF(AND(M57&lt;&gt;"",N57&lt;&gt;""),"Review disposition","Missing N/A approval"),IF(AND(D57&lt;&gt;"",E57&lt;&gt;"",G57&lt;&gt;"",H57&lt;&gt;"",K57&lt;&gt;"",L57&lt;&gt;"",N57&lt;&gt;"",OR(F57="Pass",I57&lt;&gt;"")),"Recorded","Missing evidence / issue")))</x:f>
        <x:v>Not run</x:v>
      </x:c>
    </x:row>
    <x:row r="58" ht="48" customHeight="1">
      <x:c r="A58" s="4" t="str">
        <x:v>PER-01-P</x:v>
      </x:c>
      <x:c r="B58" s="4" t="str">
        <x:v>Performance Management</x:v>
      </x:c>
      <x:c r="C58" s="4" t="str">
        <x:v>P1</x:v>
      </x:c>
      <x:c r="D58" s="9" t="str"/>
      <x:c r="E58" s="9" t="str"/>
      <x:c r="F58" s="9" t="str">
        <x:v>Not run</x:v>
      </x:c>
      <x:c r="G58" s="9" t="str"/>
      <x:c r="H58" s="9" t="str"/>
      <x:c r="I58" s="9" t="str"/>
      <x:c r="J58" s="9" t="str"/>
      <x:c r="K58" s="10" t="str"/>
      <x:c r="L58" s="9" t="str"/>
      <x:c r="M58" s="9" t="str"/>
      <x:c r="N58" s="9" t="str"/>
      <x:c r="O58" s="4" t="str">
        <x:f>IF(F58="Not run","Not run",IF(F58="Not applicable",IF(AND(M58&lt;&gt;"",N58&lt;&gt;""),"Review disposition","Missing N/A approval"),IF(AND(D58&lt;&gt;"",E58&lt;&gt;"",G58&lt;&gt;"",H58&lt;&gt;"",K58&lt;&gt;"",L58&lt;&gt;"",N58&lt;&gt;"",OR(F58="Pass",I58&lt;&gt;"")),"Recorded","Missing evidence / issue")))</x:f>
        <x:v>Not run</x:v>
      </x:c>
    </x:row>
    <x:row r="59" ht="48" customHeight="1">
      <x:c r="A59" s="4" t="str">
        <x:v>PER-01-C</x:v>
      </x:c>
      <x:c r="B59" s="4" t="str">
        <x:v>Performance Management</x:v>
      </x:c>
      <x:c r="C59" s="4" t="str">
        <x:v>P1</x:v>
      </x:c>
      <x:c r="D59" s="9" t="str"/>
      <x:c r="E59" s="9" t="str"/>
      <x:c r="F59" s="9" t="str">
        <x:v>Not run</x:v>
      </x:c>
      <x:c r="G59" s="9" t="str"/>
      <x:c r="H59" s="9" t="str"/>
      <x:c r="I59" s="9" t="str"/>
      <x:c r="J59" s="9" t="str"/>
      <x:c r="K59" s="10" t="str"/>
      <x:c r="L59" s="9" t="str"/>
      <x:c r="M59" s="9" t="str"/>
      <x:c r="N59" s="9" t="str"/>
      <x:c r="O59" s="4" t="str">
        <x:f>IF(F59="Not run","Not run",IF(F59="Not applicable",IF(AND(M59&lt;&gt;"",N59&lt;&gt;""),"Review disposition","Missing N/A approval"),IF(AND(D59&lt;&gt;"",E59&lt;&gt;"",G59&lt;&gt;"",H59&lt;&gt;"",K59&lt;&gt;"",L59&lt;&gt;"",N59&lt;&gt;"",OR(F59="Pass",I59&lt;&gt;"")),"Recorded","Missing evidence / issue")))</x:f>
        <x:v>Not run</x:v>
      </x:c>
    </x:row>
    <x:row r="60" ht="48" customHeight="1">
      <x:c r="A60" s="4" t="str">
        <x:v>PER-02-P</x:v>
      </x:c>
      <x:c r="B60" s="4" t="str">
        <x:v>Performance Management</x:v>
      </x:c>
      <x:c r="C60" s="4" t="str">
        <x:v>P1</x:v>
      </x:c>
      <x:c r="D60" s="9" t="str"/>
      <x:c r="E60" s="9" t="str"/>
      <x:c r="F60" s="9" t="str">
        <x:v>Not run</x:v>
      </x:c>
      <x:c r="G60" s="9" t="str"/>
      <x:c r="H60" s="9" t="str"/>
      <x:c r="I60" s="9" t="str"/>
      <x:c r="J60" s="9" t="str"/>
      <x:c r="K60" s="10" t="str"/>
      <x:c r="L60" s="9" t="str"/>
      <x:c r="M60" s="9" t="str"/>
      <x:c r="N60" s="9" t="str"/>
      <x:c r="O60" s="4" t="str">
        <x:f>IF(F60="Not run","Not run",IF(F60="Not applicable",IF(AND(M60&lt;&gt;"",N60&lt;&gt;""),"Review disposition","Missing N/A approval"),IF(AND(D60&lt;&gt;"",E60&lt;&gt;"",G60&lt;&gt;"",H60&lt;&gt;"",K60&lt;&gt;"",L60&lt;&gt;"",N60&lt;&gt;"",OR(F60="Pass",I60&lt;&gt;"")),"Recorded","Missing evidence / issue")))</x:f>
        <x:v>Not run</x:v>
      </x:c>
    </x:row>
    <x:row r="61" ht="48" customHeight="1">
      <x:c r="A61" s="4" t="str">
        <x:v>PER-02-C</x:v>
      </x:c>
      <x:c r="B61" s="4" t="str">
        <x:v>Performance Management</x:v>
      </x:c>
      <x:c r="C61" s="4" t="str">
        <x:v>P1</x:v>
      </x:c>
      <x:c r="D61" s="9" t="str"/>
      <x:c r="E61" s="9" t="str"/>
      <x:c r="F61" s="9" t="str">
        <x:v>Not run</x:v>
      </x:c>
      <x:c r="G61" s="9" t="str"/>
      <x:c r="H61" s="9" t="str"/>
      <x:c r="I61" s="9" t="str"/>
      <x:c r="J61" s="9" t="str"/>
      <x:c r="K61" s="10" t="str"/>
      <x:c r="L61" s="9" t="str"/>
      <x:c r="M61" s="9" t="str"/>
      <x:c r="N61" s="9" t="str"/>
      <x:c r="O61" s="4" t="str">
        <x:f>IF(F61="Not run","Not run",IF(F61="Not applicable",IF(AND(M61&lt;&gt;"",N61&lt;&gt;""),"Review disposition","Missing N/A approval"),IF(AND(D61&lt;&gt;"",E61&lt;&gt;"",G61&lt;&gt;"",H61&lt;&gt;"",K61&lt;&gt;"",L61&lt;&gt;"",N61&lt;&gt;"",OR(F61="Pass",I61&lt;&gt;"")),"Recorded","Missing evidence / issue")))</x:f>
        <x:v>Not run</x:v>
      </x:c>
    </x:row>
    <x:row r="62" ht="48" customHeight="1">
      <x:c r="A62" s="4" t="str">
        <x:v>PER-03-P</x:v>
      </x:c>
      <x:c r="B62" s="4" t="str">
        <x:v>Performance Management</x:v>
      </x:c>
      <x:c r="C62" s="4" t="str">
        <x:v>P1</x:v>
      </x:c>
      <x:c r="D62" s="9" t="str"/>
      <x:c r="E62" s="9" t="str"/>
      <x:c r="F62" s="9" t="str">
        <x:v>Not run</x:v>
      </x:c>
      <x:c r="G62" s="9" t="str"/>
      <x:c r="H62" s="9" t="str"/>
      <x:c r="I62" s="9" t="str"/>
      <x:c r="J62" s="9" t="str"/>
      <x:c r="K62" s="10" t="str"/>
      <x:c r="L62" s="9" t="str"/>
      <x:c r="M62" s="9" t="str"/>
      <x:c r="N62" s="9" t="str"/>
      <x:c r="O62" s="4" t="str">
        <x:f>IF(F62="Not run","Not run",IF(F62="Not applicable",IF(AND(M62&lt;&gt;"",N62&lt;&gt;""),"Review disposition","Missing N/A approval"),IF(AND(D62&lt;&gt;"",E62&lt;&gt;"",G62&lt;&gt;"",H62&lt;&gt;"",K62&lt;&gt;"",L62&lt;&gt;"",N62&lt;&gt;"",OR(F62="Pass",I62&lt;&gt;"")),"Recorded","Missing evidence / issue")))</x:f>
        <x:v>Not run</x:v>
      </x:c>
    </x:row>
    <x:row r="63" ht="48" customHeight="1">
      <x:c r="A63" s="4" t="str">
        <x:v>PER-03-C</x:v>
      </x:c>
      <x:c r="B63" s="4" t="str">
        <x:v>Performance Management</x:v>
      </x:c>
      <x:c r="C63" s="4" t="str">
        <x:v>P1</x:v>
      </x:c>
      <x:c r="D63" s="9" t="str"/>
      <x:c r="E63" s="9" t="str"/>
      <x:c r="F63" s="9" t="str">
        <x:v>Not run</x:v>
      </x:c>
      <x:c r="G63" s="9" t="str"/>
      <x:c r="H63" s="9" t="str"/>
      <x:c r="I63" s="9" t="str"/>
      <x:c r="J63" s="9" t="str"/>
      <x:c r="K63" s="10" t="str"/>
      <x:c r="L63" s="9" t="str"/>
      <x:c r="M63" s="9" t="str"/>
      <x:c r="N63" s="9" t="str"/>
      <x:c r="O63" s="4" t="str">
        <x:f>IF(F63="Not run","Not run",IF(F63="Not applicable",IF(AND(M63&lt;&gt;"",N63&lt;&gt;""),"Review disposition","Missing N/A approval"),IF(AND(D63&lt;&gt;"",E63&lt;&gt;"",G63&lt;&gt;"",H63&lt;&gt;"",K63&lt;&gt;"",L63&lt;&gt;"",N63&lt;&gt;"",OR(F63="Pass",I63&lt;&gt;"")),"Recorded","Missing evidence / issue")))</x:f>
        <x:v>Not run</x:v>
      </x:c>
    </x:row>
    <x:row r="64" ht="48" customHeight="1">
      <x:c r="A64" s="4" t="str">
        <x:v>TRN-01-P</x:v>
      </x:c>
      <x:c r="B64" s="4" t="str">
        <x:v>Training and Development</x:v>
      </x:c>
      <x:c r="C64" s="4" t="str">
        <x:v>P1</x:v>
      </x:c>
      <x:c r="D64" s="9" t="str"/>
      <x:c r="E64" s="9" t="str"/>
      <x:c r="F64" s="9" t="str">
        <x:v>Not run</x:v>
      </x:c>
      <x:c r="G64" s="9" t="str"/>
      <x:c r="H64" s="9" t="str"/>
      <x:c r="I64" s="9" t="str"/>
      <x:c r="J64" s="9" t="str"/>
      <x:c r="K64" s="10" t="str"/>
      <x:c r="L64" s="9" t="str"/>
      <x:c r="M64" s="9" t="str"/>
      <x:c r="N64" s="9" t="str"/>
      <x:c r="O64" s="4" t="str">
        <x:f>IF(F64="Not run","Not run",IF(F64="Not applicable",IF(AND(M64&lt;&gt;"",N64&lt;&gt;""),"Review disposition","Missing N/A approval"),IF(AND(D64&lt;&gt;"",E64&lt;&gt;"",G64&lt;&gt;"",H64&lt;&gt;"",K64&lt;&gt;"",L64&lt;&gt;"",N64&lt;&gt;"",OR(F64="Pass",I64&lt;&gt;"")),"Recorded","Missing evidence / issue")))</x:f>
        <x:v>Not run</x:v>
      </x:c>
    </x:row>
    <x:row r="65" ht="48" customHeight="1">
      <x:c r="A65" s="4" t="str">
        <x:v>TRN-01-C</x:v>
      </x:c>
      <x:c r="B65" s="4" t="str">
        <x:v>Training and Development</x:v>
      </x:c>
      <x:c r="C65" s="4" t="str">
        <x:v>P1</x:v>
      </x:c>
      <x:c r="D65" s="9" t="str"/>
      <x:c r="E65" s="9" t="str"/>
      <x:c r="F65" s="9" t="str">
        <x:v>Not run</x:v>
      </x:c>
      <x:c r="G65" s="9" t="str"/>
      <x:c r="H65" s="9" t="str"/>
      <x:c r="I65" s="9" t="str"/>
      <x:c r="J65" s="9" t="str"/>
      <x:c r="K65" s="10" t="str"/>
      <x:c r="L65" s="9" t="str"/>
      <x:c r="M65" s="9" t="str"/>
      <x:c r="N65" s="9" t="str"/>
      <x:c r="O65" s="4" t="str">
        <x:f>IF(F65="Not run","Not run",IF(F65="Not applicable",IF(AND(M65&lt;&gt;"",N65&lt;&gt;""),"Review disposition","Missing N/A approval"),IF(AND(D65&lt;&gt;"",E65&lt;&gt;"",G65&lt;&gt;"",H65&lt;&gt;"",K65&lt;&gt;"",L65&lt;&gt;"",N65&lt;&gt;"",OR(F65="Pass",I65&lt;&gt;"")),"Recorded","Missing evidence / issue")))</x:f>
        <x:v>Not run</x:v>
      </x:c>
    </x:row>
    <x:row r="66" ht="48" customHeight="1">
      <x:c r="A66" s="4" t="str">
        <x:v>TRN-02-P</x:v>
      </x:c>
      <x:c r="B66" s="4" t="str">
        <x:v>Training and Development</x:v>
      </x:c>
      <x:c r="C66" s="4" t="str">
        <x:v>P1</x:v>
      </x:c>
      <x:c r="D66" s="9" t="str"/>
      <x:c r="E66" s="9" t="str"/>
      <x:c r="F66" s="9" t="str">
        <x:v>Not run</x:v>
      </x:c>
      <x:c r="G66" s="9" t="str"/>
      <x:c r="H66" s="9" t="str"/>
      <x:c r="I66" s="9" t="str"/>
      <x:c r="J66" s="9" t="str"/>
      <x:c r="K66" s="10" t="str"/>
      <x:c r="L66" s="9" t="str"/>
      <x:c r="M66" s="9" t="str"/>
      <x:c r="N66" s="9" t="str"/>
      <x:c r="O66" s="4" t="str">
        <x:f>IF(F66="Not run","Not run",IF(F66="Not applicable",IF(AND(M66&lt;&gt;"",N66&lt;&gt;""),"Review disposition","Missing N/A approval"),IF(AND(D66&lt;&gt;"",E66&lt;&gt;"",G66&lt;&gt;"",H66&lt;&gt;"",K66&lt;&gt;"",L66&lt;&gt;"",N66&lt;&gt;"",OR(F66="Pass",I66&lt;&gt;"")),"Recorded","Missing evidence / issue")))</x:f>
        <x:v>Not run</x:v>
      </x:c>
    </x:row>
    <x:row r="67" ht="48" customHeight="1">
      <x:c r="A67" s="4" t="str">
        <x:v>TRN-02-C</x:v>
      </x:c>
      <x:c r="B67" s="4" t="str">
        <x:v>Training and Development</x:v>
      </x:c>
      <x:c r="C67" s="4" t="str">
        <x:v>P1</x:v>
      </x:c>
      <x:c r="D67" s="9" t="str"/>
      <x:c r="E67" s="9" t="str"/>
      <x:c r="F67" s="9" t="str">
        <x:v>Not run</x:v>
      </x:c>
      <x:c r="G67" s="9" t="str"/>
      <x:c r="H67" s="9" t="str"/>
      <x:c r="I67" s="9" t="str"/>
      <x:c r="J67" s="9" t="str"/>
      <x:c r="K67" s="10" t="str"/>
      <x:c r="L67" s="9" t="str"/>
      <x:c r="M67" s="9" t="str"/>
      <x:c r="N67" s="9" t="str"/>
      <x:c r="O67" s="4" t="str">
        <x:f>IF(F67="Not run","Not run",IF(F67="Not applicable",IF(AND(M67&lt;&gt;"",N67&lt;&gt;""),"Review disposition","Missing N/A approval"),IF(AND(D67&lt;&gt;"",E67&lt;&gt;"",G67&lt;&gt;"",H67&lt;&gt;"",K67&lt;&gt;"",L67&lt;&gt;"",N67&lt;&gt;"",OR(F67="Pass",I67&lt;&gt;"")),"Recorded","Missing evidence / issue")))</x:f>
        <x:v>Not run</x:v>
      </x:c>
    </x:row>
    <x:row r="68" ht="48" customHeight="1">
      <x:c r="A68" s="4" t="str">
        <x:v>TRN-03-P</x:v>
      </x:c>
      <x:c r="B68" s="4" t="str">
        <x:v>Training and Development</x:v>
      </x:c>
      <x:c r="C68" s="4" t="str">
        <x:v>P1</x:v>
      </x:c>
      <x:c r="D68" s="9" t="str"/>
      <x:c r="E68" s="9" t="str"/>
      <x:c r="F68" s="9" t="str">
        <x:v>Not run</x:v>
      </x:c>
      <x:c r="G68" s="9" t="str"/>
      <x:c r="H68" s="9" t="str"/>
      <x:c r="I68" s="9" t="str"/>
      <x:c r="J68" s="9" t="str"/>
      <x:c r="K68" s="10" t="str"/>
      <x:c r="L68" s="9" t="str"/>
      <x:c r="M68" s="9" t="str"/>
      <x:c r="N68" s="9" t="str"/>
      <x:c r="O68" s="4" t="str">
        <x:f>IF(F68="Not run","Not run",IF(F68="Not applicable",IF(AND(M68&lt;&gt;"",N68&lt;&gt;""),"Review disposition","Missing N/A approval"),IF(AND(D68&lt;&gt;"",E68&lt;&gt;"",G68&lt;&gt;"",H68&lt;&gt;"",K68&lt;&gt;"",L68&lt;&gt;"",N68&lt;&gt;"",OR(F68="Pass",I68&lt;&gt;"")),"Recorded","Missing evidence / issue")))</x:f>
        <x:v>Not run</x:v>
      </x:c>
    </x:row>
    <x:row r="69" ht="48" customHeight="1">
      <x:c r="A69" s="4" t="str">
        <x:v>TRN-03-C</x:v>
      </x:c>
      <x:c r="B69" s="4" t="str">
        <x:v>Training and Development</x:v>
      </x:c>
      <x:c r="C69" s="4" t="str">
        <x:v>P1</x:v>
      </x:c>
      <x:c r="D69" s="9" t="str"/>
      <x:c r="E69" s="9" t="str"/>
      <x:c r="F69" s="9" t="str">
        <x:v>Not run</x:v>
      </x:c>
      <x:c r="G69" s="9" t="str"/>
      <x:c r="H69" s="9" t="str"/>
      <x:c r="I69" s="9" t="str"/>
      <x:c r="J69" s="9" t="str"/>
      <x:c r="K69" s="10" t="str"/>
      <x:c r="L69" s="9" t="str"/>
      <x:c r="M69" s="9" t="str"/>
      <x:c r="N69" s="9" t="str"/>
      <x:c r="O69" s="4" t="str">
        <x:f>IF(F69="Not run","Not run",IF(F69="Not applicable",IF(AND(M69&lt;&gt;"",N69&lt;&gt;""),"Review disposition","Missing N/A approval"),IF(AND(D69&lt;&gt;"",E69&lt;&gt;"",G69&lt;&gt;"",H69&lt;&gt;"",K69&lt;&gt;"",L69&lt;&gt;"",N69&lt;&gt;"",OR(F69="Pass",I69&lt;&gt;"")),"Recorded","Missing evidence / issue")))</x:f>
        <x:v>Not run</x:v>
      </x:c>
    </x:row>
    <x:row r="70" ht="48" customHeight="1">
      <x:c r="A70" s="4" t="str">
        <x:v>CTL-01-P</x:v>
      </x:c>
      <x:c r="B70" s="4" t="str">
        <x:v>Shared Reporting and Controls</x:v>
      </x:c>
      <x:c r="C70" s="4" t="str">
        <x:v>P1</x:v>
      </x:c>
      <x:c r="D70" s="9" t="str"/>
      <x:c r="E70" s="9" t="str"/>
      <x:c r="F70" s="9" t="str">
        <x:v>Not run</x:v>
      </x:c>
      <x:c r="G70" s="9" t="str"/>
      <x:c r="H70" s="9" t="str"/>
      <x:c r="I70" s="9" t="str"/>
      <x:c r="J70" s="9" t="str"/>
      <x:c r="K70" s="10" t="str"/>
      <x:c r="L70" s="9" t="str"/>
      <x:c r="M70" s="9" t="str"/>
      <x:c r="N70" s="9" t="str"/>
      <x:c r="O70" s="4" t="str">
        <x:f>IF(F70="Not run","Not run",IF(F70="Not applicable",IF(AND(M70&lt;&gt;"",N70&lt;&gt;""),"Review disposition","Missing N/A approval"),IF(AND(D70&lt;&gt;"",E70&lt;&gt;"",G70&lt;&gt;"",H70&lt;&gt;"",K70&lt;&gt;"",L70&lt;&gt;"",N70&lt;&gt;"",OR(F70="Pass",I70&lt;&gt;"")),"Recorded","Missing evidence / issue")))</x:f>
        <x:v>Not run</x:v>
      </x:c>
    </x:row>
    <x:row r="71" ht="48" customHeight="1">
      <x:c r="A71" s="4" t="str">
        <x:v>CTL-01-C</x:v>
      </x:c>
      <x:c r="B71" s="4" t="str">
        <x:v>Shared Reporting and Controls</x:v>
      </x:c>
      <x:c r="C71" s="4" t="str">
        <x:v>P1</x:v>
      </x:c>
      <x:c r="D71" s="9" t="str"/>
      <x:c r="E71" s="9" t="str"/>
      <x:c r="F71" s="9" t="str">
        <x:v>Not run</x:v>
      </x:c>
      <x:c r="G71" s="9" t="str"/>
      <x:c r="H71" s="9" t="str"/>
      <x:c r="I71" s="9" t="str"/>
      <x:c r="J71" s="9" t="str"/>
      <x:c r="K71" s="10" t="str"/>
      <x:c r="L71" s="9" t="str"/>
      <x:c r="M71" s="9" t="str"/>
      <x:c r="N71" s="9" t="str"/>
      <x:c r="O71" s="4" t="str">
        <x:f>IF(F71="Not run","Not run",IF(F71="Not applicable",IF(AND(M71&lt;&gt;"",N71&lt;&gt;""),"Review disposition","Missing N/A approval"),IF(AND(D71&lt;&gt;"",E71&lt;&gt;"",G71&lt;&gt;"",H71&lt;&gt;"",K71&lt;&gt;"",L71&lt;&gt;"",N71&lt;&gt;"",OR(F71="Pass",I71&lt;&gt;"")),"Recorded","Missing evidence / issue")))</x:f>
        <x:v>Not run</x:v>
      </x:c>
    </x:row>
    <x:row r="72" ht="48" customHeight="1">
      <x:c r="A72" s="4" t="str">
        <x:v>CTL-02-P</x:v>
      </x:c>
      <x:c r="B72" s="4" t="str">
        <x:v>Shared Reporting and Controls</x:v>
      </x:c>
      <x:c r="C72" s="4" t="str">
        <x:v>P0</x:v>
      </x:c>
      <x:c r="D72" s="9" t="str"/>
      <x:c r="E72" s="9" t="str"/>
      <x:c r="F72" s="9" t="str">
        <x:v>Not run</x:v>
      </x:c>
      <x:c r="G72" s="9" t="str"/>
      <x:c r="H72" s="9" t="str"/>
      <x:c r="I72" s="9" t="str"/>
      <x:c r="J72" s="9" t="str"/>
      <x:c r="K72" s="10" t="str"/>
      <x:c r="L72" s="9" t="str"/>
      <x:c r="M72" s="9" t="str"/>
      <x:c r="N72" s="9" t="str"/>
      <x:c r="O72" s="4" t="str">
        <x:f>IF(F72="Not run","Not run",IF(F72="Not applicable",IF(AND(M72&lt;&gt;"",N72&lt;&gt;""),"Review disposition","Missing N/A approval"),IF(AND(D72&lt;&gt;"",E72&lt;&gt;"",G72&lt;&gt;"",H72&lt;&gt;"",K72&lt;&gt;"",L72&lt;&gt;"",N72&lt;&gt;"",OR(F72="Pass",I72&lt;&gt;"")),"Recorded","Missing evidence / issue")))</x:f>
        <x:v>Not run</x:v>
      </x:c>
    </x:row>
    <x:row r="73" ht="48" customHeight="1">
      <x:c r="A73" s="4" t="str">
        <x:v>CTL-02-C</x:v>
      </x:c>
      <x:c r="B73" s="4" t="str">
        <x:v>Shared Reporting and Controls</x:v>
      </x:c>
      <x:c r="C73" s="4" t="str">
        <x:v>P0</x:v>
      </x:c>
      <x:c r="D73" s="9" t="str"/>
      <x:c r="E73" s="9" t="str"/>
      <x:c r="F73" s="9" t="str">
        <x:v>Not run</x:v>
      </x:c>
      <x:c r="G73" s="9" t="str"/>
      <x:c r="H73" s="9" t="str"/>
      <x:c r="I73" s="9" t="str"/>
      <x:c r="J73" s="9" t="str"/>
      <x:c r="K73" s="10" t="str"/>
      <x:c r="L73" s="9" t="str"/>
      <x:c r="M73" s="9" t="str"/>
      <x:c r="N73" s="9" t="str"/>
      <x:c r="O73" s="4" t="str">
        <x:f>IF(F73="Not run","Not run",IF(F73="Not applicable",IF(AND(M73&lt;&gt;"",N73&lt;&gt;""),"Review disposition","Missing N/A approval"),IF(AND(D73&lt;&gt;"",E73&lt;&gt;"",G73&lt;&gt;"",H73&lt;&gt;"",K73&lt;&gt;"",L73&lt;&gt;"",N73&lt;&gt;"",OR(F73="Pass",I73&lt;&gt;"")),"Recorded","Missing evidence / issue")))</x:f>
        <x:v>Not run</x:v>
      </x:c>
    </x:row>
    <x:row r="74" ht="48" customHeight="1">
      <x:c r="A74" s="4" t="str">
        <x:v>CTL-03-P</x:v>
      </x:c>
      <x:c r="B74" s="4" t="str">
        <x:v>Shared Reporting and Controls</x:v>
      </x:c>
      <x:c r="C74" s="4" t="str">
        <x:v>P1</x:v>
      </x:c>
      <x:c r="D74" s="9" t="str"/>
      <x:c r="E74" s="9" t="str"/>
      <x:c r="F74" s="9" t="str">
        <x:v>Not run</x:v>
      </x:c>
      <x:c r="G74" s="9" t="str"/>
      <x:c r="H74" s="9" t="str"/>
      <x:c r="I74" s="9" t="str"/>
      <x:c r="J74" s="9" t="str"/>
      <x:c r="K74" s="10" t="str"/>
      <x:c r="L74" s="9" t="str"/>
      <x:c r="M74" s="9" t="str"/>
      <x:c r="N74" s="9" t="str"/>
      <x:c r="O74" s="4" t="str">
        <x:f>IF(F74="Not run","Not run",IF(F74="Not applicable",IF(AND(M74&lt;&gt;"",N74&lt;&gt;""),"Review disposition","Missing N/A approval"),IF(AND(D74&lt;&gt;"",E74&lt;&gt;"",G74&lt;&gt;"",H74&lt;&gt;"",K74&lt;&gt;"",L74&lt;&gt;"",N74&lt;&gt;"",OR(F74="Pass",I74&lt;&gt;"")),"Recorded","Missing evidence / issue")))</x:f>
        <x:v>Not run</x:v>
      </x:c>
    </x:row>
    <x:row r="75" ht="48" customHeight="1">
      <x:c r="A75" s="4" t="str">
        <x:v>CTL-03-C</x:v>
      </x:c>
      <x:c r="B75" s="4" t="str">
        <x:v>Shared Reporting and Controls</x:v>
      </x:c>
      <x:c r="C75" s="4" t="str">
        <x:v>P1</x:v>
      </x:c>
      <x:c r="D75" s="9" t="str"/>
      <x:c r="E75" s="9" t="str"/>
      <x:c r="F75" s="9" t="str">
        <x:v>Not run</x:v>
      </x:c>
      <x:c r="G75" s="9" t="str"/>
      <x:c r="H75" s="9" t="str"/>
      <x:c r="I75" s="9" t="str"/>
      <x:c r="J75" s="9" t="str"/>
      <x:c r="K75" s="10" t="str"/>
      <x:c r="L75" s="9" t="str"/>
      <x:c r="M75" s="9" t="str"/>
      <x:c r="N75" s="9" t="str"/>
      <x:c r="O75" s="4" t="str">
        <x:f>IF(F75="Not run","Not run",IF(F75="Not applicable",IF(AND(M75&lt;&gt;"",N75&lt;&gt;""),"Review disposition","Missing N/A approval"),IF(AND(D75&lt;&gt;"",E75&lt;&gt;"",G75&lt;&gt;"",H75&lt;&gt;"",K75&lt;&gt;"",L75&lt;&gt;"",N75&lt;&gt;"",OR(F75="Pass",I75&lt;&gt;"")),"Recorded","Missing evidence / issue")))</x:f>
        <x:v>Not run</x:v>
      </x:c>
    </x:row>
    <x:row r="76" ht="48" customHeight="1">
      <x:c r="A76" s="4" t="str">
        <x:v>CTL-04-P</x:v>
      </x:c>
      <x:c r="B76" s="4" t="str">
        <x:v>Shared Reporting and Controls</x:v>
      </x:c>
      <x:c r="C76" s="4" t="str">
        <x:v>P0</x:v>
      </x:c>
      <x:c r="D76" s="9" t="str"/>
      <x:c r="E76" s="9" t="str"/>
      <x:c r="F76" s="9" t="str">
        <x:v>Not run</x:v>
      </x:c>
      <x:c r="G76" s="9" t="str"/>
      <x:c r="H76" s="9" t="str"/>
      <x:c r="I76" s="9" t="str"/>
      <x:c r="J76" s="9" t="str"/>
      <x:c r="K76" s="10" t="str"/>
      <x:c r="L76" s="9" t="str"/>
      <x:c r="M76" s="9" t="str"/>
      <x:c r="N76" s="9" t="str"/>
      <x:c r="O76" s="4" t="str">
        <x:f>IF(F76="Not run","Not run",IF(F76="Not applicable",IF(AND(M76&lt;&gt;"",N76&lt;&gt;""),"Review disposition","Missing N/A approval"),IF(AND(D76&lt;&gt;"",E76&lt;&gt;"",G76&lt;&gt;"",H76&lt;&gt;"",K76&lt;&gt;"",L76&lt;&gt;"",N76&lt;&gt;"",OR(F76="Pass",I76&lt;&gt;"")),"Recorded","Missing evidence / issue")))</x:f>
        <x:v>Not run</x:v>
      </x:c>
    </x:row>
    <x:row r="77" ht="48" customHeight="1">
      <x:c r="A77" s="4" t="str">
        <x:v>CTL-04-C</x:v>
      </x:c>
      <x:c r="B77" s="4" t="str">
        <x:v>Shared Reporting and Controls</x:v>
      </x:c>
      <x:c r="C77" s="4" t="str">
        <x:v>P0</x:v>
      </x:c>
      <x:c r="D77" s="9" t="str"/>
      <x:c r="E77" s="9" t="str"/>
      <x:c r="F77" s="9" t="str">
        <x:v>Not run</x:v>
      </x:c>
      <x:c r="G77" s="9" t="str"/>
      <x:c r="H77" s="9" t="str"/>
      <x:c r="I77" s="9" t="str"/>
      <x:c r="J77" s="9" t="str"/>
      <x:c r="K77" s="10" t="str"/>
      <x:c r="L77" s="9" t="str"/>
      <x:c r="M77" s="9" t="str"/>
      <x:c r="N77" s="9" t="str"/>
      <x:c r="O77" s="4" t="str">
        <x:f>IF(F77="Not run","Not run",IF(F77="Not applicable",IF(AND(M77&lt;&gt;"",N77&lt;&gt;""),"Review disposition","Missing N/A approval"),IF(AND(D77&lt;&gt;"",E77&lt;&gt;"",G77&lt;&gt;"",H77&lt;&gt;"",K77&lt;&gt;"",L77&lt;&gt;"",N77&lt;&gt;"",OR(F77="Pass",I77&lt;&gt;"")),"Recorded","Missing evidence / issue")))</x:f>
        <x:v>Not run</x:v>
      </x:c>
    </x:row>
    <x:row r="78" ht="48" customHeight="1">
      <x:c r="A78" s="4" t="str">
        <x:v>E2E-01</x:v>
      </x:c>
      <x:c r="B78" s="4" t="str">
        <x:v>End-to-End Journeys</x:v>
      </x:c>
      <x:c r="C78" s="4" t="str">
        <x:v>P0</x:v>
      </x:c>
      <x:c r="D78" s="9" t="str"/>
      <x:c r="E78" s="9" t="str"/>
      <x:c r="F78" s="9" t="str">
        <x:v>Not run</x:v>
      </x:c>
      <x:c r="G78" s="9" t="str"/>
      <x:c r="H78" s="9" t="str"/>
      <x:c r="I78" s="9" t="str"/>
      <x:c r="J78" s="9" t="str"/>
      <x:c r="K78" s="10" t="str"/>
      <x:c r="L78" s="9" t="str"/>
      <x:c r="M78" s="9" t="str"/>
      <x:c r="N78" s="9" t="str"/>
      <x:c r="O78" s="4" t="str">
        <x:f>IF(F78="Not run","Not run",IF(F78="Not applicable",IF(AND(M78&lt;&gt;"",N78&lt;&gt;""),"Review disposition","Missing N/A approval"),IF(AND(D78&lt;&gt;"",E78&lt;&gt;"",G78&lt;&gt;"",H78&lt;&gt;"",K78&lt;&gt;"",L78&lt;&gt;"",N78&lt;&gt;"",OR(F78="Pass",I78&lt;&gt;"")),"Recorded","Missing evidence / issue")))</x:f>
        <x:v>Not run</x:v>
      </x:c>
    </x:row>
    <x:row r="79" ht="48" customHeight="1">
      <x:c r="A79" s="4" t="str">
        <x:v>E2E-02</x:v>
      </x:c>
      <x:c r="B79" s="4" t="str">
        <x:v>End-to-End Journeys</x:v>
      </x:c>
      <x:c r="C79" s="4" t="str">
        <x:v>P0</x:v>
      </x:c>
      <x:c r="D79" s="9" t="str"/>
      <x:c r="E79" s="9" t="str"/>
      <x:c r="F79" s="9" t="str">
        <x:v>Not run</x:v>
      </x:c>
      <x:c r="G79" s="9" t="str"/>
      <x:c r="H79" s="9" t="str"/>
      <x:c r="I79" s="9" t="str"/>
      <x:c r="J79" s="9" t="str"/>
      <x:c r="K79" s="10" t="str"/>
      <x:c r="L79" s="9" t="str"/>
      <x:c r="M79" s="9" t="str"/>
      <x:c r="N79" s="9" t="str"/>
      <x:c r="O79" s="4" t="str">
        <x:f>IF(F79="Not run","Not run",IF(F79="Not applicable",IF(AND(M79&lt;&gt;"",N79&lt;&gt;""),"Review disposition","Missing N/A approval"),IF(AND(D79&lt;&gt;"",E79&lt;&gt;"",G79&lt;&gt;"",H79&lt;&gt;"",K79&lt;&gt;"",L79&lt;&gt;"",N79&lt;&gt;"",OR(F79="Pass",I79&lt;&gt;"")),"Recorded","Missing evidence / issue")))</x:f>
        <x:v>Not run</x:v>
      </x:c>
    </x:row>
    <x:row r="80" ht="48" customHeight="1">
      <x:c r="A80" s="4" t="str">
        <x:v>E2E-03</x:v>
      </x:c>
      <x:c r="B80" s="4" t="str">
        <x:v>End-to-End Journeys</x:v>
      </x:c>
      <x:c r="C80" s="4" t="str">
        <x:v>P0</x:v>
      </x:c>
      <x:c r="D80" s="9" t="str"/>
      <x:c r="E80" s="9" t="str"/>
      <x:c r="F80" s="9" t="str">
        <x:v>Not run</x:v>
      </x:c>
      <x:c r="G80" s="9" t="str"/>
      <x:c r="H80" s="9" t="str"/>
      <x:c r="I80" s="9" t="str"/>
      <x:c r="J80" s="9" t="str"/>
      <x:c r="K80" s="10" t="str"/>
      <x:c r="L80" s="9" t="str"/>
      <x:c r="M80" s="9" t="str"/>
      <x:c r="N80" s="9" t="str"/>
      <x:c r="O80" s="4" t="str">
        <x:f>IF(F80="Not run","Not run",IF(F80="Not applicable",IF(AND(M80&lt;&gt;"",N80&lt;&gt;""),"Review disposition","Missing N/A approval"),IF(AND(D80&lt;&gt;"",E80&lt;&gt;"",G80&lt;&gt;"",H80&lt;&gt;"",K80&lt;&gt;"",L80&lt;&gt;"",N80&lt;&gt;"",OR(F80="Pass",I80&lt;&gt;"")),"Recorded","Missing evidence / issue")))</x:f>
        <x:v>Not run</x:v>
      </x:c>
    </x:row>
    <x:row r="81" ht="48" customHeight="1">
      <x:c r="A81" s="4" t="str">
        <x:v>E2E-04</x:v>
      </x:c>
      <x:c r="B81" s="4" t="str">
        <x:v>End-to-End Journeys</x:v>
      </x:c>
      <x:c r="C81" s="4" t="str">
        <x:v>P0</x:v>
      </x:c>
      <x:c r="D81" s="9" t="str"/>
      <x:c r="E81" s="9" t="str"/>
      <x:c r="F81" s="9" t="str">
        <x:v>Not run</x:v>
      </x:c>
      <x:c r="G81" s="9" t="str"/>
      <x:c r="H81" s="9" t="str"/>
      <x:c r="I81" s="9" t="str"/>
      <x:c r="J81" s="9" t="str"/>
      <x:c r="K81" s="10" t="str"/>
      <x:c r="L81" s="9" t="str"/>
      <x:c r="M81" s="9" t="str"/>
      <x:c r="N81" s="9" t="str"/>
      <x:c r="O81" s="4" t="str">
        <x:f>IF(F81="Not run","Not run",IF(F81="Not applicable",IF(AND(M81&lt;&gt;"",N81&lt;&gt;""),"Review disposition","Missing N/A approval"),IF(AND(D81&lt;&gt;"",E81&lt;&gt;"",G81&lt;&gt;"",H81&lt;&gt;"",K81&lt;&gt;"",L81&lt;&gt;"",N81&lt;&gt;"",OR(F81="Pass",I81&lt;&gt;"")),"Recorded","Missing evidence / issue")))</x:f>
        <x:v>Not run</x:v>
      </x:c>
    </x:row>
  </x:sheetData>
  <x:conditionalFormatting sqref="F6:F81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Not run"/>
    <x:cfRule type="containsText" dxfId="3" priority="4" operator="containsText" text="Pass"/>
  </x:conditionalFormatting>
  <x:conditionalFormatting sqref="O6:O81">
    <x:cfRule type="containsText" dxfId="4" priority="5" operator="containsText" text="Missing"/>
  </x:conditionalFormatting>
  <x:dataValidations count="1">
    <x:dataValidation type="list" sqref="F6:F81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ac62f609ab4b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38" hidden="0" customWidth="1"/>
    <x:col min="4" max="4" width="9" hidden="0" customWidth="1"/>
    <x:col min="5" max="5" width="10" hidden="0" customWidth="1"/>
    <x:col min="6" max="6" width="43" hidden="0" customWidth="1"/>
    <x:col min="7" max="7" width="48" hidden="0" customWidth="1"/>
    <x:col min="8" max="8" width="30" hidden="0" customWidth="1"/>
    <x:col min="9" max="9" width="90" hidden="0" customWidth="1"/>
    <x:col min="10" max="10" width="85" hidden="0" customWidth="1"/>
    <x:col min="11" max="11" width="55" hidden="0" customWidth="1"/>
  </x:cols>
  <x:sheetData>
    <x:row r="2" ht="23" customHeight="1">
      <x:c r="A2" s="1" t="str">
        <x:v>HR Test Cases</x:v>
      </x:c>
    </x:row>
    <x:row r="5" ht="34" customHeight="1">
      <x:c r="A5" s="8" t="str">
        <x:v>Test ID</x:v>
      </x:c>
      <x:c r="B5" s="8" t="str">
        <x:v>Parent use case</x:v>
      </x:c>
      <x:c r="C5" s="8" t="str">
        <x:v>Workstream / owner</x:v>
      </x:c>
      <x:c r="D5" s="8" t="str">
        <x:v>Phase</x:v>
      </x:c>
      <x:c r="E5" s="8" t="str">
        <x:v>Priority</x:v>
      </x:c>
      <x:c r="F5" s="8" t="str">
        <x:v>Scenario</x:v>
      </x:c>
      <x:c r="G5" s="8" t="str">
        <x:v>Entry routes</x:v>
      </x:c>
      <x:c r="H5" s="8" t="str">
        <x:v>Required fixture IDs</x:v>
      </x:c>
      <x:c r="I5" s="8" t="str">
        <x:v>Steps — all listed variants</x:v>
      </x:c>
      <x:c r="J5" s="8" t="str">
        <x:v>Acceptance criteria</x:v>
      </x:c>
      <x:c r="K5" s="8" t="str">
        <x:v>Evidence required</x:v>
      </x:c>
    </x:row>
    <x:row r="6" ht="190" customHeight="1">
      <x:c r="A6" s="4" t="str">
        <x:v>HR-01-P</x:v>
      </x:c>
      <x:c r="B6" s="4" t="str">
        <x:v>HR-01</x:v>
      </x:c>
      <x:c r="C6" s="4" t="str">
        <x:v>Personnel and Employee Administration
HR operations manager</x:v>
      </x:c>
      <x:c r="D6" s="4" t="n">
        <x:v>1</x:v>
      </x:c>
      <x:c r="E6" s="4" t="str">
        <x:v>P1</x:v>
      </x:c>
      <x:c r="F6" s="4" t="str">
        <x:v>Maintain HR reference records — positive</x:v>
      </x:c>
      <x:c r="G6" s="4" t="str">
        <x:v>/Employee/Position/List; /Employee/Specialization/List; /Employee/AcademicInistitution/List; /Employee/Teams</x:v>
      </x:c>
      <x:c r="H6" s="4" t="str">
        <x:v>ORG; USERS; PEOPLE</x:v>
      </x:c>
      <x:c r="I6" s="4" t="str">
        <x:v>Create one position, specialization, institution and team with UAT-prefixed bilingual names. Edit each. Refresh. Select the records in the relevant employee/team workflow and reopen the saved record.</x:v>
      </x:c>
      <x:c r="J6" s="4" t="str">
        <x:v>All four records retain saved values. Selectors and team membership show the intended records in the correct company.</x:v>
      </x:c>
      <x:c r="K6" s="4" t="str">
        <x:v>Before/after IDs, screenshots or request/response outcome, calculations/files where applicable. Identify every subscenario and role.</x:v>
      </x:c>
    </x:row>
    <x:row r="7" ht="190" customHeight="1">
      <x:c r="A7" s="4" t="str">
        <x:v>HR-01-C</x:v>
      </x:c>
      <x:c r="B7" s="4" t="str">
        <x:v>HR-01</x:v>
      </x:c>
      <x:c r="C7" s="4" t="str">
        <x:v>Personnel and Employee Administration
HR operations manager</x:v>
      </x:c>
      <x:c r="D7" s="4" t="n">
        <x:v>1</x:v>
      </x:c>
      <x:c r="E7" s="4" t="str">
        <x:v>P1</x:v>
      </x:c>
      <x:c r="F7" s="4" t="str">
        <x:v>Maintain HR reference records — control</x:v>
      </x:c>
      <x:c r="G7" s="4" t="str">
        <x:v>/Employee/Position/List; /Employee/Specialization/List; /Employee/AcademicInistitution/List; /Employee/Teams</x:v>
      </x:c>
      <x:c r="H7" s="4" t="str">
        <x:v>ORG; USERS; PEOPLE</x:v>
      </x:c>
      <x:c r="I7" s="4" t="str">
        <x:v>With a read-only user attempt create/edit/delete for each type. With a specialist submit a foreign-company or nonexistent reference through the corresponding request. Reopen the original record.</x:v>
      </x:c>
      <x:c r="J7" s="4" t="str">
        <x:v>Restricted writes and invalid references are rejected. Existing records and memberships remain unchanged.</x:v>
      </x:c>
      <x:c r="K7" s="4" t="str">
        <x:v>Before/after IDs, screenshots or request/response outcome, calculations/files where applicable. Identify every subscenario and role.</x:v>
      </x:c>
    </x:row>
    <x:row r="8" ht="190" customHeight="1">
      <x:c r="A8" s="4" t="str">
        <x:v>HR-02-P</x:v>
      </x:c>
      <x:c r="B8" s="4" t="str">
        <x:v>HR-02</x:v>
      </x:c>
      <x:c r="C8" s="4" t="str">
        <x:v>Personnel and Employee Administration
HR operations manager</x:v>
      </x:c>
      <x:c r="D8" s="4" t="n">
        <x:v>1</x:v>
      </x:c>
      <x:c r="E8" s="4" t="str">
        <x:v>P1</x:v>
      </x:c>
      <x:c r="F8" s="4" t="str">
        <x:v>Create, edit, search and view employee — positive</x:v>
      </x:c>
      <x:c r="G8" s="4" t="str">
        <x:v>/Employee/Employee/List; /Employee/Employee/Form/{Id:guid?}; /Employee/Employee/view/{Id:guid}; /Employee/Employee/360/{Id:guid}</x:v>
      </x:c>
      <x:c r="H8" s="4" t="str">
        <x:v>ORG; USERS; PEOPLE</x:v>
      </x:c>
      <x:c r="I8" s="4" t="str">
        <x:v>Create EMP-NEW using the prepared required fields and selected branch/department/position. Edit contact information. Search by the unique test name; apply company, branch and department filters. Refresh and compare list, profile and 360.</x:v>
      </x:c>
      <x:c r="J8" s="4" t="str">
        <x:v>Exactly the intended employee is returned. Saved details and assignments agree across views and survive refresh.</x:v>
      </x:c>
      <x:c r="K8" s="4" t="str">
        <x:v>Before/after IDs, screenshots or request/response outcome, calculations/files where applicable. Identify every subscenario and role.</x:v>
      </x:c>
    </x:row>
    <x:row r="9" ht="190" customHeight="1">
      <x:c r="A9" s="4" t="str">
        <x:v>HR-02-C</x:v>
      </x:c>
      <x:c r="B9" s="4" t="str">
        <x:v>HR-02</x:v>
      </x:c>
      <x:c r="C9" s="4" t="str">
        <x:v>Personnel and Employee Administration
HR operations manager</x:v>
      </x:c>
      <x:c r="D9" s="4" t="n">
        <x:v>1</x:v>
      </x:c>
      <x:c r="E9" s="4" t="str">
        <x:v>P1</x:v>
      </x:c>
      <x:c r="F9" s="4" t="str">
        <x:v>Create, edit, search and view employee — control</x:v>
      </x:c>
      <x:c r="G9" s="4" t="str">
        <x:v>/Employee/Employee/List; /Employee/Employee/Form/{Id:guid?}; /Employee/Employee/view/{Id:guid}; /Employee/Employee/360/{Id:guid}</x:v>
      </x:c>
      <x:c r="H9" s="4" t="str">
        <x:v>ORG; USERS; PEOPLE</x:v>
      </x:c>
      <x:c r="I9" s="4" t="str">
        <x:v>Submit with each required field missing. Try a nonexistent and foreign-company department/position. Search for an absent name and move between pages of results.</x:v>
      </x:c>
      <x:c r="J9" s="4" t="str">
        <x:v>Invalid records are not saved; validation identifies the issue. Empty search has no stale rows. Pagination does not mix or omit matching records.</x:v>
      </x:c>
      <x:c r="K9" s="4" t="str">
        <x:v>Before/after IDs, screenshots or request/response outcome, calculations/files where applicable. Identify every subscenario and role.</x:v>
      </x:c>
    </x:row>
    <x:row r="10" ht="190" customHeight="1">
      <x:c r="A10" s="4" t="str">
        <x:v>HR-03-P</x:v>
      </x:c>
      <x:c r="B10" s="4" t="str">
        <x:v>HR-03</x:v>
      </x:c>
      <x:c r="C10" s="4" t="str">
        <x:v>Personnel and Employee Administration
HR operations manager</x:v>
      </x:c>
      <x:c r="D10" s="4" t="n">
        <x:v>1</x:v>
      </x:c>
      <x:c r="E10" s="4" t="str">
        <x:v>P1</x:v>
      </x:c>
      <x:c r="F10" s="4" t="str">
        <x:v>Maintain contacts, documents, skills and certificates — positive</x:v>
      </x:c>
      <x:c r="G10" s="4" t="str">
        <x:v>/HR/EmployeeEmergencyContacts; /HR/EmployeeDocuments; /HR/EmployeeSkills</x:v>
      </x:c>
      <x:c r="H10" s="4" t="str">
        <x:v>PEOPLE; FILES; USERS</x:v>
      </x:c>
      <x:c r="I10" s="4" t="str">
        <x:v>Select EMP-REG. Add and edit a contact, document link, skill and certificate. Refresh each page. Open the document/certificate reference. Switch to EMP-NIGHT and back.</x:v>
      </x:c>
      <x:c r="J10" s="4" t="str">
        <x:v>Values persist for EMP-REG; references open for the authorized tester. EMP-NIGHT has no copied records from EMP-REG.</x:v>
      </x:c>
      <x:c r="K10" s="4" t="str">
        <x:v>Before/after IDs, screenshots or request/response outcome, calculations/files where applicable. Identify every subscenario and role.</x:v>
      </x:c>
    </x:row>
    <x:row r="11" ht="190" customHeight="1">
      <x:c r="A11" s="4" t="str">
        <x:v>HR-03-C</x:v>
      </x:c>
      <x:c r="B11" s="4" t="str">
        <x:v>HR-03</x:v>
      </x:c>
      <x:c r="C11" s="4" t="str">
        <x:v>Personnel and Employee Administration
HR operations manager</x:v>
      </x:c>
      <x:c r="D11" s="4" t="n">
        <x:v>1</x:v>
      </x:c>
      <x:c r="E11" s="4" t="str">
        <x:v>P1</x:v>
      </x:c>
      <x:c r="F11" s="4" t="str">
        <x:v>Maintain contacts, documents, skills and certificates — control</x:v>
      </x:c>
      <x:c r="G11" s="4" t="str">
        <x:v>/HR/EmployeeEmergencyContacts; /HR/EmployeeDocuments; /HR/EmployeeSkills</x:v>
      </x:c>
      <x:c r="H11" s="4" t="str">
        <x:v>PEOPLE; FILES; USERS</x:v>
      </x:c>
      <x:c r="I11" s="4" t="str">
        <x:v>Attempt the same writes as a read-only user. Change the employee or child-record ID in a captured request to another company. Try an invalid document reference.</x:v>
      </x:c>
      <x:c r="J11" s="4" t="str">
        <x:v>Unauthorized changes and foreign references fail without modifying either employee. Invalid references cannot be presented as successfully usable documents.</x:v>
      </x:c>
      <x:c r="K11" s="4" t="str">
        <x:v>Before/after IDs, screenshots or request/response outcome, calculations/files where applicable. Identify every subscenario and role.</x:v>
      </x:c>
    </x:row>
    <x:row r="12" ht="190" customHeight="1">
      <x:c r="A12" s="4" t="str">
        <x:v>HR-04-P</x:v>
      </x:c>
      <x:c r="B12" s="4" t="str">
        <x:v>HR-04</x:v>
      </x:c>
      <x:c r="C12" s="4" t="str">
        <x:v>Personnel and Employee Administration
HR operations manager</x:v>
      </x:c>
      <x:c r="D12" s="4" t="n">
        <x:v>1</x:v>
      </x:c>
      <x:c r="E12" s="4" t="str">
        <x:v>P0</x:v>
      </x:c>
      <x:c r="F12" s="4" t="str">
        <x:v>Transfer, change position and process lifecycle — positive</x:v>
      </x:c>
      <x:c r="G12" s="4" t="str">
        <x:v>/Employee/Employee/List; /HR/EmployeeLifecycle</x:v>
      </x:c>
      <x:c r="H12" s="4" t="str">
        <x:v>PEOPLE; ORG; POLICY; USERS</x:v>
      </x:c>
      <x:c r="I12" s="4" t="str">
        <x:v>Record EMP-MOVE current department, branch and position. Process separate transfer and position-change records. For each applicable lifecycle type create, approve and complete at the approved effective date. Refresh employee and event history.</x:v>
      </x:c>
      <x:c r="J12" s="4" t="str">
        <x:v>Completed events apply the approved changes once and retain event history, actor and dates where required by POLICY. Employee assignments agree with the completed event.</x:v>
      </x:c>
      <x:c r="K12" s="4" t="str">
        <x:v>Before/after IDs, screenshots or request/response outcome, calculations/files where applicable. Identify every subscenario and role.</x:v>
      </x:c>
    </x:row>
    <x:row r="13" ht="190" customHeight="1">
      <x:c r="A13" s="4" t="str">
        <x:v>HR-04-C</x:v>
      </x:c>
      <x:c r="B13" s="4" t="str">
        <x:v>HR-04</x:v>
      </x:c>
      <x:c r="C13" s="4" t="str">
        <x:v>Personnel and Employee Administration
HR operations manager</x:v>
      </x:c>
      <x:c r="D13" s="4" t="n">
        <x:v>1</x:v>
      </x:c>
      <x:c r="E13" s="4" t="str">
        <x:v>P0</x:v>
      </x:c>
      <x:c r="F13" s="4" t="str">
        <x:v>Transfer, change position and process lifecycle — control</x:v>
      </x:c>
      <x:c r="G13" s="4" t="str">
        <x:v>/Employee/Employee/List; /HR/EmployeeLifecycle</x:v>
      </x:c>
      <x:c r="H13" s="4" t="str">
        <x:v>PEOPLE; ORG; POLICY; USERS</x:v>
      </x:c>
      <x:c r="I13" s="4" t="str">
        <x:v>Create separate events and cancel them before completion. Attempt completion without approval, repeat completion and attempt a transfer to a prohibited branch.</x:v>
      </x:c>
      <x:c r="J13" s="4" t="str">
        <x:v>Cancelled events do not change assignments. Invalid/repeated transitions and prohibited transfers are rejected; neither branch gains unauthorized access.</x:v>
      </x:c>
      <x:c r="K13" s="4" t="str">
        <x:v>Before/after IDs, screenshots or request/response outcome, calculations/files where applicable. Identify every subscenario and role.</x:v>
      </x:c>
    </x:row>
    <x:row r="14" ht="190" customHeight="1">
      <x:c r="A14" s="4" t="str">
        <x:v>HR-05-P</x:v>
      </x:c>
      <x:c r="B14" s="4" t="str">
        <x:v>HR-05</x:v>
      </x:c>
      <x:c r="C14" s="4" t="str">
        <x:v>Personnel and Employee Administration
HR operations manager</x:v>
      </x:c>
      <x:c r="D14" s="4" t="n">
        <x:v>1</x:v>
      </x:c>
      <x:c r="E14" s="4" t="str">
        <x:v>P0</x:v>
      </x:c>
      <x:c r="F14" s="4" t="str">
        <x:v>Terminate employee and reconcile downstream behavior — positive</x:v>
      </x:c>
      <x:c r="G14" s="4" t="str">
        <x:v>/Employee/Employee/List; /HR/EmployeeLifecycle; /HR/Reports</x:v>
      </x:c>
      <x:c r="H14" s="4" t="str">
        <x:v>PEOPLE; POLICY; PAYREF; USERS</x:v>
      </x:c>
      <x:c r="I14" s="4" t="str">
        <x:v>Use EMP-EXIT with history and approved termination date/reason. Terminate through the available employee workflow. Refresh the profile and historical reports. Check future roster, attendance, leave and payroll eligibility against POLICY.</x:v>
      </x:c>
      <x:c r="J14" s="4" t="str">
        <x:v>Termination details persist and historical records remain readable to authorized HR. Each downstream inclusion/exclusion matches the approved termination matrix; discrepancies are gaps.</x:v>
      </x:c>
      <x:c r="K14" s="4" t="str">
        <x:v>Before/after IDs, screenshots or request/response outcome, calculations/files where applicable. Identify every subscenario and role.</x:v>
      </x:c>
    </x:row>
    <x:row r="15" ht="190" customHeight="1">
      <x:c r="A15" s="4" t="str">
        <x:v>HR-05-C</x:v>
      </x:c>
      <x:c r="B15" s="4" t="str">
        <x:v>HR-05</x:v>
      </x:c>
      <x:c r="C15" s="4" t="str">
        <x:v>Personnel and Employee Administration
HR operations manager</x:v>
      </x:c>
      <x:c r="D15" s="4" t="n">
        <x:v>1</x:v>
      </x:c>
      <x:c r="E15" s="4" t="str">
        <x:v>P0</x:v>
      </x:c>
      <x:c r="F15" s="4" t="str">
        <x:v>Terminate employee and reconcile downstream behavior — control</x:v>
      </x:c>
      <x:c r="G15" s="4" t="str">
        <x:v>/Employee/Employee/List; /HR/EmployeeLifecycle; /HR/Reports</x:v>
      </x:c>
      <x:c r="H15" s="4" t="str">
        <x:v>PEOPLE; POLICY; PAYREF; USERS</x:v>
      </x:c>
      <x:c r="I15" s="4" t="str">
        <x:v>Try termination as an unauthorized user; repeat a completed termination. Test dates before/on/after the effective date in downstream eligibility. Check that employee access follows POLICY.</x:v>
      </x:c>
      <x:c r="J15" s="4" t="str">
        <x:v>Unauthorized/repeated actions cannot corrupt history. Boundary-date eligibility and account access match POLICY; absence of a required downstream control is a failure/gap.</x:v>
      </x:c>
      <x:c r="K15" s="4" t="str">
        <x:v>Before/after IDs, screenshots or request/response outcome, calculations/files where applicable. Identify every subscenario and role.</x:v>
      </x:c>
    </x:row>
    <x:row r="16" ht="190" customHeight="1">
      <x:c r="A16" s="4" t="str">
        <x:v>REC-01-P</x:v>
      </x:c>
      <x:c r="B16" s="4" t="str">
        <x:v>REC-01</x:v>
      </x:c>
      <x:c r="C16" s="4" t="str">
        <x:v>Recruitment and Hiring
Recruitment lead</x:v>
      </x:c>
      <x:c r="D16" s="4" t="n">
        <x:v>2</x:v>
      </x:c>
      <x:c r="E16" s="4" t="str">
        <x:v>P1</x:v>
      </x:c>
      <x:c r="F16" s="4" t="str">
        <x:v>Maintain staffing plans and requisitions — positive</x:v>
      </x:c>
      <x:c r="G16" s="4" t="str">
        <x:v>/HR/Recruitment</x:v>
      </x:c>
      <x:c r="H16" s="4" t="str">
        <x:v>ORG; USERS; RECRUIT</x:v>
      </x:c>
      <x:c r="I16" s="4" t="str">
        <x:v>Create a staffing plan for the test year and position. Create linked requisitions with planned headcount. Edit a draft, open it, then close it; use a separate requisition for cancellation. Refresh and filter.</x:v>
      </x:c>
      <x:c r="J16" s="4" t="str">
        <x:v>Year, position, headcount, links and status persist. Open, closed and cancelled records appear under the matching filters.</x:v>
      </x:c>
      <x:c r="K16" s="4" t="str">
        <x:v>Before/after IDs, screenshots or request/response outcome, calculations/files where applicable. Identify every subscenario and role.</x:v>
      </x:c>
    </x:row>
    <x:row r="17" ht="190" customHeight="1">
      <x:c r="A17" s="4" t="str">
        <x:v>REC-01-C</x:v>
      </x:c>
      <x:c r="B17" s="4" t="str">
        <x:v>REC-01</x:v>
      </x:c>
      <x:c r="C17" s="4" t="str">
        <x:v>Recruitment and Hiring
Recruitment lead</x:v>
      </x:c>
      <x:c r="D17" s="4" t="n">
        <x:v>2</x:v>
      </x:c>
      <x:c r="E17" s="4" t="str">
        <x:v>P1</x:v>
      </x:c>
      <x:c r="F17" s="4" t="str">
        <x:v>Maintain staffing plans and requisitions — control</x:v>
      </x:c>
      <x:c r="G17" s="4" t="str">
        <x:v>/HR/Recruitment</x:v>
      </x:c>
      <x:c r="H17" s="4" t="str">
        <x:v>ORG; USERS; RECRUIT</x:v>
      </x:c>
      <x:c r="I17" s="4" t="str">
        <x:v>Attempt transitions from invalid states and repeat close/cancel. Submit missing required information and foreign-company position references. Repeat approval as a user without approval permission.</x:v>
      </x:c>
      <x:c r="J17" s="4" t="str">
        <x:v>Invalid references, states and unauthorized approvals are rejected without changing the requisition.</x:v>
      </x:c>
      <x:c r="K17" s="4" t="str">
        <x:v>Before/after IDs, screenshots or request/response outcome, calculations/files where applicable. Identify every subscenario and role.</x:v>
      </x:c>
    </x:row>
    <x:row r="18" ht="190" customHeight="1">
      <x:c r="A18" s="4" t="str">
        <x:v>REC-02-P</x:v>
      </x:c>
      <x:c r="B18" s="4" t="str">
        <x:v>REC-02</x:v>
      </x:c>
      <x:c r="C18" s="4" t="str">
        <x:v>Recruitment and Hiring
Recruitment lead</x:v>
      </x:c>
      <x:c r="D18" s="4" t="n">
        <x:v>2</x:v>
      </x:c>
      <x:c r="E18" s="4" t="str">
        <x:v>P1</x:v>
      </x:c>
      <x:c r="F18" s="4" t="str">
        <x:v>Register and progress applicants — positive</x:v>
      </x:c>
      <x:c r="G18" s="4" t="str">
        <x:v>/HR/Recruitment</x:v>
      </x:c>
      <x:c r="H18" s="4" t="str">
        <x:v>RECRUIT; USERS</x:v>
      </x:c>
      <x:c r="I18" s="4" t="str">
        <x:v>Register two distinguishable applicants against separate requisitions. Move one through the available approved stages. Refresh; filter by requisition and status.</x:v>
      </x:c>
      <x:c r="J18" s="4" t="str">
        <x:v>Details persist and each applicant stays linked to the correct requisition. Status filters return only matching applicants.</x:v>
      </x:c>
      <x:c r="K18" s="4" t="str">
        <x:v>Before/after IDs, screenshots or request/response outcome, calculations/files where applicable. Identify every subscenario and role.</x:v>
      </x:c>
    </x:row>
    <x:row r="19" ht="190" customHeight="1">
      <x:c r="A19" s="4" t="str">
        <x:v>REC-02-C</x:v>
      </x:c>
      <x:c r="B19" s="4" t="str">
        <x:v>REC-02</x:v>
      </x:c>
      <x:c r="C19" s="4" t="str">
        <x:v>Recruitment and Hiring
Recruitment lead</x:v>
      </x:c>
      <x:c r="D19" s="4" t="n">
        <x:v>2</x:v>
      </x:c>
      <x:c r="E19" s="4" t="str">
        <x:v>P1</x:v>
      </x:c>
      <x:c r="F19" s="4" t="str">
        <x:v>Register and progress applicants — control</x:v>
      </x:c>
      <x:c r="G19" s="4" t="str">
        <x:v>/HR/Recruitment</x:v>
      </x:c>
      <x:c r="H19" s="4" t="str">
        <x:v>RECRUIT; USERS</x:v>
      </x:c>
      <x:c r="I19" s="4" t="str">
        <x:v>Attempt an invalid stage transition and a foreign-company requisition reference. Repeat status change as a read-only user and search for an absent candidate.</x:v>
      </x:c>
      <x:c r="J19" s="4" t="str">
        <x:v>Invalid/unauthorized changes fail; applicant association remains correct and empty filters show no stale candidate.</x:v>
      </x:c>
      <x:c r="K19" s="4" t="str">
        <x:v>Before/after IDs, screenshots or request/response outcome, calculations/files where applicable. Identify every subscenario and role.</x:v>
      </x:c>
    </x:row>
    <x:row r="20" ht="190" customHeight="1">
      <x:c r="A20" s="4" t="str">
        <x:v>REC-03-P</x:v>
      </x:c>
      <x:c r="B20" s="4" t="str">
        <x:v>REC-03</x:v>
      </x:c>
      <x:c r="C20" s="4" t="str">
        <x:v>Recruitment and Hiring
Recruitment lead</x:v>
      </x:c>
      <x:c r="D20" s="4" t="n">
        <x:v>2</x:v>
      </x:c>
      <x:c r="E20" s="4" t="str">
        <x:v>P1</x:v>
      </x:c>
      <x:c r="F20" s="4" t="str">
        <x:v>Record interview feedback — positive</x:v>
      </x:c>
      <x:c r="G20" s="4" t="str">
        <x:v>/HR/Recruitment</x:v>
      </x:c>
      <x:c r="H20" s="4" t="str">
        <x:v>RECRUIT; USERS; POLICY</x:v>
      </x:c>
      <x:c r="I20" s="4" t="str">
        <x:v>Open the intended applicant. Record interview feedback with the approved score scale and comments. Edit it; refresh and compare both applicants.</x:v>
      </x:c>
      <x:c r="J20" s="4" t="str">
        <x:v>Scores/comments persist only on the intended applicant and match the approved score scale.</x:v>
      </x:c>
      <x:c r="K20" s="4" t="str">
        <x:v>Before/after IDs, screenshots or request/response outcome, calculations/files where applicable. Identify every subscenario and role.</x:v>
      </x:c>
    </x:row>
    <x:row r="21" ht="190" customHeight="1">
      <x:c r="A21" s="4" t="str">
        <x:v>REC-03-C</x:v>
      </x:c>
      <x:c r="B21" s="4" t="str">
        <x:v>REC-03</x:v>
      </x:c>
      <x:c r="C21" s="4" t="str">
        <x:v>Recruitment and Hiring
Recruitment lead</x:v>
      </x:c>
      <x:c r="D21" s="4" t="n">
        <x:v>2</x:v>
      </x:c>
      <x:c r="E21" s="4" t="str">
        <x:v>P1</x:v>
      </x:c>
      <x:c r="F21" s="4" t="str">
        <x:v>Record interview feedback — control</x:v>
      </x:c>
      <x:c r="G21" s="4" t="str">
        <x:v>/HR/Recruitment</x:v>
      </x:c>
      <x:c r="H21" s="4" t="str">
        <x:v>RECRUIT; USERS; POLICY</x:v>
      </x:c>
      <x:c r="I21" s="4" t="str">
        <x:v>Submit out-of-range scores or missing required feedback. Attempt edit/delete with a read-only user and change the applicant ID to another company.</x:v>
      </x:c>
      <x:c r="J21" s="4" t="str">
        <x:v>Invalid scores and unauthorized changes fail; neither applicant receives another applicant’s feedback.</x:v>
      </x:c>
      <x:c r="K21" s="4" t="str">
        <x:v>Before/after IDs, screenshots or request/response outcome, calculations/files where applicable. Identify every subscenario and role.</x:v>
      </x:c>
    </x:row>
    <x:row r="22" ht="190" customHeight="1">
      <x:c r="A22" s="4" t="str">
        <x:v>REC-04-P</x:v>
      </x:c>
      <x:c r="B22" s="4" t="str">
        <x:v>REC-04</x:v>
      </x:c>
      <x:c r="C22" s="4" t="str">
        <x:v>Recruitment and Hiring
Recruitment lead</x:v>
      </x:c>
      <x:c r="D22" s="4" t="n">
        <x:v>2</x:v>
      </x:c>
      <x:c r="E22" s="4" t="str">
        <x:v>P0</x:v>
      </x:c>
      <x:c r="F22" s="4" t="str">
        <x:v>Offer decision and employee handoff — positive</x:v>
      </x:c>
      <x:c r="G22" s="4" t="str">
        <x:v>/HR/Recruitment; /Employee/Employee/Form/{Id:guid?}</x:v>
      </x:c>
      <x:c r="H22" s="4" t="str">
        <x:v>RECRUIT; PEOPLE; USERS</x:v>
      </x:c>
      <x:c r="I22" s="4" t="str">
        <x:v>Create an offer for the successful applicant. Accept it. Create/identify EMP-NEW through the employee workflow and link that employee to the accepted offer. Refresh offer and employee. Reject a separate offer.</x:v>
      </x:c>
      <x:c r="J22" s="4" t="str">
        <x:v>Accepted/rejected statuses are correct. The hiring handoff references exactly EMP-NEW. Record whether employee creation is manual; offer acceptance alone is not proof of creation.</x:v>
      </x:c>
      <x:c r="K22" s="4" t="str">
        <x:v>Before/after IDs, screenshots or request/response outcome, calculations/files where applicable. Identify every subscenario and role.</x:v>
      </x:c>
    </x:row>
    <x:row r="23" ht="190" customHeight="1">
      <x:c r="A23" s="4" t="str">
        <x:v>REC-04-C</x:v>
      </x:c>
      <x:c r="B23" s="4" t="str">
        <x:v>REC-04</x:v>
      </x:c>
      <x:c r="C23" s="4" t="str">
        <x:v>Recruitment and Hiring
Recruitment lead</x:v>
      </x:c>
      <x:c r="D23" s="4" t="n">
        <x:v>2</x:v>
      </x:c>
      <x:c r="E23" s="4" t="str">
        <x:v>P0</x:v>
      </x:c>
      <x:c r="F23" s="4" t="str">
        <x:v>Offer decision and employee handoff — control</x:v>
      </x:c>
      <x:c r="G23" s="4" t="str">
        <x:v>/HR/Recruitment; /Employee/Employee/Form/{Id:guid?}</x:v>
      </x:c>
      <x:c r="H23" s="4" t="str">
        <x:v>RECRUIT; PEOPLE; USERS</x:v>
      </x:c>
      <x:c r="I23" s="4" t="str">
        <x:v>Repeat acceptance and employee linking. Link a nonexistent or foreign-company employee; try linking a rejected offer. Repeat hire action without hire permission.</x:v>
      </x:c>
      <x:c r="J23" s="4" t="str">
        <x:v>Invalid links/transitions fail; no duplicate employee or hire association appears; restricted users cannot complete hiring.</x:v>
      </x:c>
      <x:c r="K23" s="4" t="str">
        <x:v>Before/after IDs, screenshots or request/response outcome, calculations/files where applicable. Identify every subscenario and role.</x:v>
      </x:c>
    </x:row>
    <x:row r="24" ht="190" customHeight="1">
      <x:c r="A24" s="4" t="str">
        <x:v>ATT-01-P</x:v>
      </x:c>
      <x:c r="B24" s="4" t="str">
        <x:v>ATT-01</x:v>
      </x:c>
      <x:c r="C24" s="4" t="str">
        <x:v>Attendance and Workforce Scheduling
Attendance administrator</x:v>
      </x:c>
      <x:c r="D24" s="4" t="n">
        <x:v>2</x:v>
      </x:c>
      <x:c r="E24" s="4" t="str">
        <x:v>P1</x:v>
      </x:c>
      <x:c r="F24" s="4" t="str">
        <x:v>Configure shifts, calendar and assignments — positive</x:v>
      </x:c>
      <x:c r="G24" s="4" t="str">
        <x:v>/Attendance/Shifts; /Attendance/ShiftAssignments; /Attendance/Holidays</x:v>
      </x:c>
      <x:c r="H24" s="4" t="str">
        <x:v>CALENDAR; PEOPLE; USERS</x:v>
      </x:c>
      <x:c r="I24" s="4" t="str">
        <x:v>Create day and overnight shifts. Configure working days and a holiday through the available configuration surface. Assign shifts with effective dates. Check employee preview/report before, on and after the assignment boundary.</x:v>
      </x:c>
      <x:c r="J24" s="4" t="str">
        <x:v>The expected shift, holiday and work-day classification match CALENDAR at each tested date; saved configuration persists.</x:v>
      </x:c>
      <x:c r="K24" s="4" t="str">
        <x:v>Before/after IDs, screenshots or request/response outcome, calculations/files where applicable. Identify every subscenario and role.</x:v>
      </x:c>
    </x:row>
    <x:row r="25" ht="190" customHeight="1">
      <x:c r="A25" s="4" t="str">
        <x:v>ATT-01-C</x:v>
      </x:c>
      <x:c r="B25" s="4" t="str">
        <x:v>ATT-01</x:v>
      </x:c>
      <x:c r="C25" s="4" t="str">
        <x:v>Attendance and Workforce Scheduling
Attendance administrator</x:v>
      </x:c>
      <x:c r="D25" s="4" t="n">
        <x:v>2</x:v>
      </x:c>
      <x:c r="E25" s="4" t="str">
        <x:v>P1</x:v>
      </x:c>
      <x:c r="F25" s="4" t="str">
        <x:v>Configure shifts, calendar and assignments — control</x:v>
      </x:c>
      <x:c r="G25" s="4" t="str">
        <x:v>/Attendance/Shifts; /Attendance/ShiftAssignments; /Attendance/Holidays</x:v>
      </x:c>
      <x:c r="H25" s="4" t="str">
        <x:v>CALENDAR; PEOPLE; USERS</x:v>
      </x:c>
      <x:c r="I25" s="4" t="str">
        <x:v>Try invalid shift times/assignments and unavailable employee references. Change configuration as a read-only user. Test holiday and weekend boundaries.</x:v>
      </x:c>
      <x:c r="J25" s="4" t="str">
        <x:v>Invalid/unauthorized configuration does not save. Boundary classifications match the approved calendar; missing configuration UI is a gap.</x:v>
      </x:c>
      <x:c r="K25" s="4" t="str">
        <x:v>Before/after IDs, screenshots or request/response outcome, calculations/files where applicable. Identify every subscenario and role.</x:v>
      </x:c>
    </x:row>
    <x:row r="26" ht="190" customHeight="1">
      <x:c r="A26" s="4" t="str">
        <x:v>ATT-02-P</x:v>
      </x:c>
      <x:c r="B26" s="4" t="str">
        <x:v>ATT-02</x:v>
      </x:c>
      <x:c r="C26" s="4" t="str">
        <x:v>Attendance and Workforce Scheduling
Attendance administrator</x:v>
      </x:c>
      <x:c r="D26" s="4" t="n">
        <x:v>2</x:v>
      </x:c>
      <x:c r="E26" s="4" t="str">
        <x:v>P1</x:v>
      </x:c>
      <x:c r="F26" s="4" t="str">
        <x:v>Roster publication, swaps and substitutions — positive</x:v>
      </x:c>
      <x:c r="G26" s="4" t="str">
        <x:v>/HR/AttendanceRoster</x:v>
      </x:c>
      <x:c r="H26" s="4" t="str">
        <x:v>CALENDAR; PEOPLE; POLICY; USERS</x:v>
      </x:c>
      <x:c r="I26" s="4" t="str">
        <x:v>Create a schedule and assign EMP-REG and EMP-NIGHT. Publish and verify each employee/date. Approve one swap and apply an approved substitution. Lock the schedule and refresh.</x:v>
      </x:c>
      <x:c r="J26" s="4" t="str">
        <x:v>Published and changed assignments match the approved roster and are visible to the correct employees. Lock status persists.</x:v>
      </x:c>
      <x:c r="K26" s="4" t="str">
        <x:v>Before/after IDs, screenshots or request/response outcome, calculations/files where applicable. Identify every subscenario and role.</x:v>
      </x:c>
    </x:row>
    <x:row r="27" ht="190" customHeight="1">
      <x:c r="A27" s="4" t="str">
        <x:v>ATT-02-C</x:v>
      </x:c>
      <x:c r="B27" s="4" t="str">
        <x:v>ATT-02</x:v>
      </x:c>
      <x:c r="C27" s="4" t="str">
        <x:v>Attendance and Workforce Scheduling
Attendance administrator</x:v>
      </x:c>
      <x:c r="D27" s="4" t="n">
        <x:v>2</x:v>
      </x:c>
      <x:c r="E27" s="4" t="str">
        <x:v>P1</x:v>
      </x:c>
      <x:c r="F27" s="4" t="str">
        <x:v>Roster publication, swaps and substitutions — control</x:v>
      </x:c>
      <x:c r="G27" s="4" t="str">
        <x:v>/HR/AttendanceRoster</x:v>
      </x:c>
      <x:c r="H27" s="4" t="str">
        <x:v>CALENDAR; PEOPLE; POLICY; USERS</x:v>
      </x:c>
      <x:c r="I27" s="4" t="str">
        <x:v>Cancel a separate swap and schedule. Try overlapping/invalid assignments, a prohibited-branch employee, and editing a locked schedule without authority.</x:v>
      </x:c>
      <x:c r="J27" s="4" t="str">
        <x:v>Cancelled swaps do not apply. Invalid or prohibited assignments and unauthorized locked edits fail without changing the roster.</x:v>
      </x:c>
      <x:c r="K27" s="4" t="str">
        <x:v>Before/after IDs, screenshots or request/response outcome, calculations/files where applicable. Identify every subscenario and role.</x:v>
      </x:c>
    </x:row>
    <x:row r="28" ht="190" customHeight="1">
      <x:c r="A28" s="4" t="str">
        <x:v>ATT-03-P</x:v>
      </x:c>
      <x:c r="B28" s="4" t="str">
        <x:v>ATT-03</x:v>
      </x:c>
      <x:c r="C28" s="4" t="str">
        <x:v>Attendance and Workforce Scheduling
Attendance administrator</x:v>
      </x:c>
      <x:c r="D28" s="4" t="n">
        <x:v>2</x:v>
      </x:c>
      <x:c r="E28" s="4" t="str">
        <x:v>P0</x:v>
      </x:c>
      <x:c r="F28" s="4" t="str">
        <x:v>Sessions, breaks, overnight and missing checkout — positive</x:v>
      </x:c>
      <x:c r="G28" s="4" t="str">
        <x:v>/Attendance/MyAttendance; /Attendance/Sessions</x:v>
      </x:c>
      <x:c r="H28" s="4" t="str">
        <x:v>TIMELINE; PEOPLE; USERS</x:v>
      </x:c>
      <x:c r="I28" s="4" t="str">
        <x:v>As EMP-REG check in, start/end a break and check out at recorded times. Repeat for EMP-NIGHT across midnight. Inspect sessions/report. Exercise missing-checkout resolution on a separate fixture.</x:v>
      </x:c>
      <x:c r="J28" s="4" t="str">
        <x:v>Session date/time, break minutes and net work duration reconcile to TIMELINE. Overnight date attribution and missing-checkout handling match POLICY.</x:v>
      </x:c>
      <x:c r="K28" s="4" t="str">
        <x:v>Before/after IDs, screenshots or request/response outcome, calculations/files where applicable. Identify every subscenario and role.</x:v>
      </x:c>
    </x:row>
    <x:row r="29" ht="190" customHeight="1">
      <x:c r="A29" s="4" t="str">
        <x:v>ATT-03-C</x:v>
      </x:c>
      <x:c r="B29" s="4" t="str">
        <x:v>ATT-03</x:v>
      </x:c>
      <x:c r="C29" s="4" t="str">
        <x:v>Attendance and Workforce Scheduling
Attendance administrator</x:v>
      </x:c>
      <x:c r="D29" s="4" t="n">
        <x:v>2</x:v>
      </x:c>
      <x:c r="E29" s="4" t="str">
        <x:v>P0</x:v>
      </x:c>
      <x:c r="F29" s="4" t="str">
        <x:v>Sessions, breaks, overnight and missing checkout — control</x:v>
      </x:c>
      <x:c r="G29" s="4" t="str">
        <x:v>/Attendance/MyAttendance; /Attendance/Sessions</x:v>
      </x:c>
      <x:c r="H29" s="4" t="str">
        <x:v>TIMELINE; PEOPLE; USERS</x:v>
      </x:c>
      <x:c r="I29" s="4" t="str">
        <x:v>Attempt two active sessions, ending before starting, duplicate checkout, and invalid break order. Attempt another employee’s session action.</x:v>
      </x:c>
      <x:c r="J29" s="4" t="str">
        <x:v>Invalid sequences and foreign session actions fail; no duplicate sessions or negative durations are created.</x:v>
      </x:c>
      <x:c r="K29" s="4" t="str">
        <x:v>Before/after IDs, screenshots or request/response outcome, calculations/files where applicable. Identify every subscenario and role.</x:v>
      </x:c>
    </x:row>
    <x:row r="30" ht="190" customHeight="1">
      <x:c r="A30" s="4" t="str">
        <x:v>ATT-04-P</x:v>
      </x:c>
      <x:c r="B30" s="4" t="str">
        <x:v>ATT-04</x:v>
      </x:c>
      <x:c r="C30" s="4" t="str">
        <x:v>Attendance and Workforce Scheduling
Attendance administrator</x:v>
      </x:c>
      <x:c r="D30" s="4" t="n">
        <x:v>2</x:v>
      </x:c>
      <x:c r="E30" s="4" t="str">
        <x:v>P1</x:v>
      </x:c>
      <x:c r="F30" s="4" t="str">
        <x:v>Location rules and late/midday requests — positive</x:v>
      </x:c>
      <x:c r="G30" s="4" t="str">
        <x:v>/Attendance/MyAttendance; /Attendance/LateRequests; /Attendance/PermissionRequests; /Attendance/ApprovePermissionRequests</x:v>
      </x:c>
      <x:c r="H30" s="4" t="str">
        <x:v>GEO; TIMELINE; USERS; POLICY</x:v>
      </x:c>
      <x:c r="I30" s="4" t="str">
        <x:v>Check in inside the approved geofence with accepted accuracy. Submit late and midday permission requests. Approve one of each as the intended reviewer; reject separate requests. Refresh status and attendance report.</x:v>
      </x:c>
      <x:c r="J30" s="4" t="str">
        <x:v>Geofence result matches GEO. Each decision/comments persist; attendance treatment matches POLICY for approved versus rejected requests.</x:v>
      </x:c>
      <x:c r="K30" s="4" t="str">
        <x:v>Before/after IDs, screenshots or request/response outcome, calculations/files where applicable. Identify every subscenario and role.</x:v>
      </x:c>
    </x:row>
    <x:row r="31" ht="190" customHeight="1">
      <x:c r="A31" s="4" t="str">
        <x:v>ATT-04-C</x:v>
      </x:c>
      <x:c r="B31" s="4" t="str">
        <x:v>ATT-04</x:v>
      </x:c>
      <x:c r="C31" s="4" t="str">
        <x:v>Attendance and Workforce Scheduling
Attendance administrator</x:v>
      </x:c>
      <x:c r="D31" s="4" t="n">
        <x:v>2</x:v>
      </x:c>
      <x:c r="E31" s="4" t="str">
        <x:v>P1</x:v>
      </x:c>
      <x:c r="F31" s="4" t="str">
        <x:v>Location rules and late/midday requests — control</x:v>
      </x:c>
      <x:c r="G31" s="4" t="str">
        <x:v>/Attendance/MyAttendance; /Attendance/LateRequests; /Attendance/PermissionRequests; /Attendance/ApprovePermissionRequests</x:v>
      </x:c>
      <x:c r="H31" s="4" t="str">
        <x:v>GEO; TIMELINE; USERS; POLICY</x:v>
      </x:c>
      <x:c r="I31" s="4" t="str">
        <x:v>Test outside boundary, denied/unavailable location, poor accuracy and mocked-location input. Try review without permission and repeat review of decided requests.</x:v>
      </x:c>
      <x:c r="J31" s="4" t="str">
        <x:v>Each location condition has the approved explicit outcome. Unauthorized or repeated review cannot change attendance or silently approve the request.</x:v>
      </x:c>
      <x:c r="K31" s="4" t="str">
        <x:v>Before/after IDs, screenshots or request/response outcome, calculations/files where applicable. Identify every subscenario and role.</x:v>
      </x:c>
    </x:row>
    <x:row r="32" ht="190" customHeight="1">
      <x:c r="A32" s="4" t="str">
        <x:v>ATT-05-P</x:v>
      </x:c>
      <x:c r="B32" s="4" t="str">
        <x:v>ATT-05</x:v>
      </x:c>
      <x:c r="C32" s="4" t="str">
        <x:v>Attendance and Workforce Scheduling
Attendance administrator</x:v>
      </x:c>
      <x:c r="D32" s="4" t="n">
        <x:v>2</x:v>
      </x:c>
      <x:c r="E32" s="4" t="str">
        <x:v>P0</x:v>
      </x:c>
      <x:c r="F32" s="4" t="str">
        <x:v>Attendance correction and biometric import — positive</x:v>
      </x:c>
      <x:c r="G32" s="4" t="str">
        <x:v>/HR/AttendanceRoster; /Attendance/Sessions</x:v>
      </x:c>
      <x:c r="H32" s="4" t="str">
        <x:v>TIMELINE; BIO; USERS</x:v>
      </x:c>
      <x:c r="I32" s="4" t="str">
        <x:v>Create and approve a correction for the known session, then apply it. Create a biometric batch with valid rows; review and post. Compare sessions and report to source timestamps. Locate the action UI or record a UI gap.</x:v>
      </x:c>
      <x:c r="J32" s="4" t="str">
        <x:v>Only the intended session is corrected. Valid import rows yield the expected sessions; timestamps reconcile to BIO and retain source traceability.</x:v>
      </x:c>
      <x:c r="K32" s="4" t="str">
        <x:v>Before/after IDs, screenshots or request/response outcome, calculations/files where applicable. Identify every subscenario and role.</x:v>
      </x:c>
    </x:row>
    <x:row r="33" ht="190" customHeight="1">
      <x:c r="A33" s="4" t="str">
        <x:v>ATT-05-C</x:v>
      </x:c>
      <x:c r="B33" s="4" t="str">
        <x:v>ATT-05</x:v>
      </x:c>
      <x:c r="C33" s="4" t="str">
        <x:v>Attendance and Workforce Scheduling
Attendance administrator</x:v>
      </x:c>
      <x:c r="D33" s="4" t="n">
        <x:v>2</x:v>
      </x:c>
      <x:c r="E33" s="4" t="str">
        <x:v>P0</x:v>
      </x:c>
      <x:c r="F33" s="4" t="str">
        <x:v>Attendance correction and biometric import — control</x:v>
      </x:c>
      <x:c r="G33" s="4" t="str">
        <x:v>/HR/AttendanceRoster; /Attendance/Sessions</x:v>
      </x:c>
      <x:c r="H33" s="4" t="str">
        <x:v>TIMELINE; BIO; USERS</x:v>
      </x:c>
      <x:c r="I33" s="4" t="str">
        <x:v>Reject a separate correction and try applying it. Import invalid employee/time rows, duplicate rows and repost the same batch. Attempt correction as an unauthorized user.</x:v>
      </x:c>
      <x:c r="J33" s="4" t="str">
        <x:v>Rejected/unauthorized corrections do not apply. Invalid rows are identifiable; duplicate/reposted input cannot duplicate attendance. Backend-only capability does not pass manual UAT.</x:v>
      </x:c>
      <x:c r="K33" s="4" t="str">
        <x:v>Before/after IDs, screenshots or request/response outcome, calculations/files where applicable. Identify every subscenario and role.</x:v>
      </x:c>
    </x:row>
    <x:row r="34" ht="190" customHeight="1">
      <x:c r="A34" s="4" t="str">
        <x:v>ATT-06-P</x:v>
      </x:c>
      <x:c r="B34" s="4" t="str">
        <x:v>ATT-06</x:v>
      </x:c>
      <x:c r="C34" s="4" t="str">
        <x:v>Attendance and Workforce Scheduling
Attendance administrator</x:v>
      </x:c>
      <x:c r="D34" s="4" t="n">
        <x:v>2</x:v>
      </x:c>
      <x:c r="E34" s="4" t="str">
        <x:v>P0</x:v>
      </x:c>
      <x:c r="F34" s="4" t="str">
        <x:v>Generate, approve and lock work entries — positive</x:v>
      </x:c>
      <x:c r="G34" s="4" t="str">
        <x:v>/HR/WorkEntries</x:v>
      </x:c>
      <x:c r="H34" s="4" t="str">
        <x:v>TIMELINE; CALENDAR; LEAVEREF; USERS</x:v>
      </x:c>
      <x:c r="I34" s="4" t="str">
        <x:v>Generate entries for the prepared employee/date range. Compare work, breaks and approved leave to reference totals. Approve and lock the entries. Refresh.</x:v>
      </x:c>
      <x:c r="J34" s="4" t="str">
        <x:v>Entry population and quantities reconcile exactly to the approved attendance/leave reference; approval and lock states persist.</x:v>
      </x:c>
      <x:c r="K34" s="4" t="str">
        <x:v>Before/after IDs, screenshots or request/response outcome, calculations/files where applicable. Identify every subscenario and role.</x:v>
      </x:c>
    </x:row>
    <x:row r="35" ht="190" customHeight="1">
      <x:c r="A35" s="4" t="str">
        <x:v>ATT-06-C</x:v>
      </x:c>
      <x:c r="B35" s="4" t="str">
        <x:v>ATT-06</x:v>
      </x:c>
      <x:c r="C35" s="4" t="str">
        <x:v>Attendance and Workforce Scheduling
Attendance administrator</x:v>
      </x:c>
      <x:c r="D35" s="4" t="n">
        <x:v>2</x:v>
      </x:c>
      <x:c r="E35" s="4" t="str">
        <x:v>P0</x:v>
      </x:c>
      <x:c r="F35" s="4" t="str">
        <x:v>Generate, approve and lock work entries — control</x:v>
      </x:c>
      <x:c r="G35" s="4" t="str">
        <x:v>/HR/WorkEntries</x:v>
      </x:c>
      <x:c r="H35" s="4" t="str">
        <x:v>TIMELINE; CALENDAR; LEAVEREF; USERS</x:v>
      </x:c>
      <x:c r="I35" s="4" t="str">
        <x:v>Regenerate the same range and attempt editing locked entries. Try approval without permission and include another company’s employee.</x:v>
      </x:c>
      <x:c r="J35" s="4" t="str">
        <x:v>No duplicate or double-counted quantities result; locked/unauthorized changes and foreign-company entries are prevented.</x:v>
      </x:c>
      <x:c r="K35" s="4" t="str">
        <x:v>Before/after IDs, screenshots or request/response outcome, calculations/files where applicable. Identify every subscenario and role.</x:v>
      </x:c>
    </x:row>
    <x:row r="36" ht="190" customHeight="1">
      <x:c r="A36" s="4" t="str">
        <x:v>LEV-01-P</x:v>
      </x:c>
      <x:c r="B36" s="4" t="str">
        <x:v>LEV-01</x:v>
      </x:c>
      <x:c r="C36" s="4" t="str">
        <x:v>Leave Management
Leave administrator</x:v>
      </x:c>
      <x:c r="D36" s="4" t="n">
        <x:v>2</x:v>
      </x:c>
      <x:c r="E36" s="4" t="str">
        <x:v>P0</x:v>
      </x:c>
      <x:c r="F36" s="4" t="str">
        <x:v>Policies, periods and allocations — positive</x:v>
      </x:c>
      <x:c r="G36" s="4" t="str">
        <x:v>/HR/LeavePolicies; /LeavesManagement/Balances</x:v>
      </x:c>
      <x:c r="H36" s="4" t="str">
        <x:v>LEAVEREF; PEOPLE; USERS; POLICY</x:v>
      </x:c>
      <x:c r="I36" s="4" t="str">
        <x:v>Create leave types, period, policy and employee policy assignments. Generate allocations for the prepared population. Compare balance and ledger to LEAVEREF; refresh.</x:v>
      </x:c>
      <x:c r="J36" s="4" t="str">
        <x:v>Only assigned eligible employees receive the expected entitlement for the correct period and leave type.</x:v>
      </x:c>
      <x:c r="K36" s="4" t="str">
        <x:v>Before/after IDs, screenshots or request/response outcome, calculations/files where applicable. Identify every subscenario and role.</x:v>
      </x:c>
    </x:row>
    <x:row r="37" ht="190" customHeight="1">
      <x:c r="A37" s="4" t="str">
        <x:v>LEV-01-C</x:v>
      </x:c>
      <x:c r="B37" s="4" t="str">
        <x:v>LEV-01</x:v>
      </x:c>
      <x:c r="C37" s="4" t="str">
        <x:v>Leave Management
Leave administrator</x:v>
      </x:c>
      <x:c r="D37" s="4" t="n">
        <x:v>2</x:v>
      </x:c>
      <x:c r="E37" s="4" t="str">
        <x:v>P0</x:v>
      </x:c>
      <x:c r="F37" s="4" t="str">
        <x:v>Policies, periods and allocations — control</x:v>
      </x:c>
      <x:c r="G37" s="4" t="str">
        <x:v>/HR/LeavePolicies; /LeavesManagement/Balances</x:v>
      </x:c>
      <x:c r="H37" s="4" t="str">
        <x:v>LEAVEREF; PEOPLE; USERS; POLICY</x:v>
      </x:c>
      <x:c r="I37" s="4" t="str">
        <x:v>Generate the same allocation again; try invalid periods, foreign-company assignments and unauthorized allocation. Inspect ledger and balances.</x:v>
      </x:c>
      <x:c r="J37" s="4" t="str">
        <x:v>No duplicate entitlement is granted. Invalid/unauthorized allocations are rejected without changing balances.</x:v>
      </x:c>
      <x:c r="K37" s="4" t="str">
        <x:v>Before/after IDs, screenshots or request/response outcome, calculations/files where applicable. Identify every subscenario and role.</x:v>
      </x:c>
    </x:row>
    <x:row r="38" ht="190" customHeight="1">
      <x:c r="A38" s="4" t="str">
        <x:v>LEV-02-P</x:v>
      </x:c>
      <x:c r="B38" s="4" t="str">
        <x:v>LEV-02</x:v>
      </x:c>
      <x:c r="C38" s="4" t="str">
        <x:v>Leave Management
Leave administrator</x:v>
      </x:c>
      <x:c r="D38" s="4" t="n">
        <x:v>2</x:v>
      </x:c>
      <x:c r="E38" s="4" t="str">
        <x:v>P0</x:v>
      </x:c>
      <x:c r="F38" s="4" t="str">
        <x:v>Employee leave application — positive</x:v>
      </x:c>
      <x:c r="G38" s="4" t="str">
        <x:v>/LeavesManagement/MyLeaveApplications</x:v>
      </x:c>
      <x:c r="H38" s="4" t="str">
        <x:v>LEAVEREF; CALENDAR; FILES; USERS</x:v>
      </x:c>
      <x:c r="I38" s="4" t="str">
        <x:v>As EMP-REG create a leave draft across the prepared workdays/holiday. Attach the synthetic document, submit and refresh. Compare charged days with LEAVEREF and open the attachment.</x:v>
      </x:c>
      <x:c r="J38" s="4" t="str">
        <x:v>Dates/type/attachment persist; charged days match the approved calendar. Request belongs to the logged-in employee and reaches the intended submitted state.</x:v>
      </x:c>
      <x:c r="K38" s="4" t="str">
        <x:v>Before/after IDs, screenshots or request/response outcome, calculations/files where applicable. Identify every subscenario and role.</x:v>
      </x:c>
    </x:row>
    <x:row r="39" ht="190" customHeight="1">
      <x:c r="A39" s="4" t="str">
        <x:v>LEV-02-C</x:v>
      </x:c>
      <x:c r="B39" s="4" t="str">
        <x:v>LEV-02</x:v>
      </x:c>
      <x:c r="C39" s="4" t="str">
        <x:v>Leave Management
Leave administrator</x:v>
      </x:c>
      <x:c r="D39" s="4" t="n">
        <x:v>2</x:v>
      </x:c>
      <x:c r="E39" s="4" t="str">
        <x:v>P0</x:v>
      </x:c>
      <x:c r="F39" s="4" t="str">
        <x:v>Employee leave application — control</x:v>
      </x:c>
      <x:c r="G39" s="4" t="str">
        <x:v>/LeavesManagement/MyLeaveApplications</x:v>
      </x:c>
      <x:c r="H39" s="4" t="str">
        <x:v>LEAVEREF; CALENDAR; FILES; USERS</x:v>
      </x:c>
      <x:c r="I39" s="4" t="str">
        <x:v>Test reversed dates, overlapping requests, insufficient balance, required attachment missing and a forged employee ID. Check existing requests and balance afterward.</x:v>
      </x:c>
      <x:c r="J39" s="4" t="str">
        <x:v>Each condition follows POLICY with clear validation. No unintended request or balance transaction is created, and another employee cannot be impersonated.</x:v>
      </x:c>
      <x:c r="K39" s="4" t="str">
        <x:v>Before/after IDs, screenshots or request/response outcome, calculations/files where applicable. Identify every subscenario and role.</x:v>
      </x:c>
    </x:row>
    <x:row r="40" ht="190" customHeight="1">
      <x:c r="A40" s="4" t="str">
        <x:v>LEV-03-P</x:v>
      </x:c>
      <x:c r="B40" s="4" t="str">
        <x:v>LEV-03</x:v>
      </x:c>
      <x:c r="C40" s="4" t="str">
        <x:v>Leave Management
Leave administrator</x:v>
      </x:c>
      <x:c r="D40" s="4" t="n">
        <x:v>2</x:v>
      </x:c>
      <x:c r="E40" s="4" t="str">
        <x:v>P0</x:v>
      </x:c>
      <x:c r="F40" s="4" t="str">
        <x:v>Approve, reject and cancel leave — positive</x:v>
      </x:c>
      <x:c r="G40" s="4" t="str">
        <x:v>/HR/LeaveApplications; /HR/LeaveLedger; /LeavesManagement/Reports</x:v>
      </x:c>
      <x:c r="H40" s="4" t="str">
        <x:v>LEAVEREF; USERS; POLICY</x:v>
      </x:c>
      <x:c r="I40" s="4" t="str">
        <x:v>Record starting balance. Approve a submitted application, reject a separate one and cancel the approved application using the permitted process. Inspect ledger and reports after each action.</x:v>
      </x:c>
      <x:c r="J40" s="4" t="str">
        <x:v>Approval consumes exactly the expected days once; rejection consumes none; cancellation restores the correct amount. Decisions/comments and terminal requests appear in reports.</x:v>
      </x:c>
      <x:c r="K40" s="4" t="str">
        <x:v>Before/after IDs, screenshots or request/response outcome, calculations/files where applicable. Identify every subscenario and role.</x:v>
      </x:c>
    </x:row>
    <x:row r="41" ht="190" customHeight="1">
      <x:c r="A41" s="4" t="str">
        <x:v>LEV-03-C</x:v>
      </x:c>
      <x:c r="B41" s="4" t="str">
        <x:v>LEV-03</x:v>
      </x:c>
      <x:c r="C41" s="4" t="str">
        <x:v>Leave Management
Leave administrator</x:v>
      </x:c>
      <x:c r="D41" s="4" t="n">
        <x:v>2</x:v>
      </x:c>
      <x:c r="E41" s="4" t="str">
        <x:v>P0</x:v>
      </x:c>
      <x:c r="F41" s="4" t="str">
        <x:v>Approve, reject and cancel leave — control</x:v>
      </x:c>
      <x:c r="G41" s="4" t="str">
        <x:v>/HR/LeaveApplications; /HR/LeaveLedger; /LeavesManagement/Reports</x:v>
      </x:c>
      <x:c r="H41" s="4" t="str">
        <x:v>LEAVEREF; USERS; POLICY</x:v>
      </x:c>
      <x:c r="I41" s="4" t="str">
        <x:v>Repeat approve/cancel; try review without authority and cancellation from a prohibited state. Compare balance/ledger before and after.</x:v>
      </x:c>
      <x:c r="J41" s="4" t="str">
        <x:v>Repeated or unauthorized actions do not create extra debits/credits. Invalid transitions are rejected and ledger remains reconciled.</x:v>
      </x:c>
      <x:c r="K41" s="4" t="str">
        <x:v>Before/after IDs, screenshots or request/response outcome, calculations/files where applicable. Identify every subscenario and role.</x:v>
      </x:c>
    </x:row>
    <x:row r="42" ht="190" customHeight="1">
      <x:c r="A42" s="4" t="str">
        <x:v>LEV-04-P</x:v>
      </x:c>
      <x:c r="B42" s="4" t="str">
        <x:v>LEV-04</x:v>
      </x:c>
      <x:c r="C42" s="4" t="str">
        <x:v>Leave Management
Leave administrator</x:v>
      </x:c>
      <x:c r="D42" s="4" t="n">
        <x:v>2</x:v>
      </x:c>
      <x:c r="E42" s="4" t="str">
        <x:v>P1</x:v>
      </x:c>
      <x:c r="F42" s="4" t="str">
        <x:v>Emergency leave — positive</x:v>
      </x:c>
      <x:c r="G42" s="4" t="str">
        <x:v>/LeavesManagement/EmergencyLeaves; /LeavesManagement/ApproveEmergencyLeaves</x:v>
      </x:c>
      <x:c r="H42" s="4" t="str">
        <x:v>LEAVEREF; FILES; USERS; POLICY</x:v>
      </x:c>
      <x:c r="I42" s="4" t="str">
        <x:v>Submit an emergency request with required reason/attachment. Approve it as the assigned reviewer and reject a separate request. Refresh and compare attendance and balance impact.</x:v>
      </x:c>
      <x:c r="J42" s="4" t="str">
        <x:v>Requests, files, comments and decisions persist. Approved and rejected treatment match POLICY and LEAVEREF.</x:v>
      </x:c>
      <x:c r="K42" s="4" t="str">
        <x:v>Before/after IDs, screenshots or request/response outcome, calculations/files where applicable. Identify every subscenario and role.</x:v>
      </x:c>
    </x:row>
    <x:row r="43" ht="190" customHeight="1">
      <x:c r="A43" s="4" t="str">
        <x:v>LEV-04-C</x:v>
      </x:c>
      <x:c r="B43" s="4" t="str">
        <x:v>LEV-04</x:v>
      </x:c>
      <x:c r="C43" s="4" t="str">
        <x:v>Leave Management
Leave administrator</x:v>
      </x:c>
      <x:c r="D43" s="4" t="n">
        <x:v>2</x:v>
      </x:c>
      <x:c r="E43" s="4" t="str">
        <x:v>P1</x:v>
      </x:c>
      <x:c r="F43" s="4" t="str">
        <x:v>Emergency leave — control</x:v>
      </x:c>
      <x:c r="G43" s="4" t="str">
        <x:v>/LeavesManagement/EmergencyLeaves; /LeavesManagement/ApproveEmergencyLeaves</x:v>
      </x:c>
      <x:c r="H43" s="4" t="str">
        <x:v>LEAVEREF; FILES; USERS; POLICY</x:v>
      </x:c>
      <x:c r="I43" s="4" t="str">
        <x:v>Test missing information, overlap, repeated review and review without permission. Attempt another employee/company request through a modified request.</x:v>
      </x:c>
      <x:c r="J43" s="4" t="str">
        <x:v>Validation and access rules are enforced; rejected/duplicate requests do not silently consume leave or alter attendance.</x:v>
      </x:c>
      <x:c r="K43" s="4" t="str">
        <x:v>Before/after IDs, screenshots or request/response outcome, calculations/files where applicable. Identify every subscenario and role.</x:v>
      </x:c>
    </x:row>
    <x:row r="44" ht="190" customHeight="1">
      <x:c r="A44" s="4" t="str">
        <x:v>LEV-05-P</x:v>
      </x:c>
      <x:c r="B44" s="4" t="str">
        <x:v>LEV-05</x:v>
      </x:c>
      <x:c r="C44" s="4" t="str">
        <x:v>Leave Management
Leave administrator</x:v>
      </x:c>
      <x:c r="D44" s="4" t="n">
        <x:v>2</x:v>
      </x:c>
      <x:c r="E44" s="4" t="str">
        <x:v>P0</x:v>
      </x:c>
      <x:c r="F44" s="4" t="str">
        <x:v>Ledger adjustments and encashment — positive</x:v>
      </x:c>
      <x:c r="G44" s="4" t="str">
        <x:v>/HR/LeaveLedger</x:v>
      </x:c>
      <x:c r="H44" s="4" t="str">
        <x:v>LEAVEREF; PAYREF; USERS; POLICY</x:v>
      </x:c>
      <x:c r="I44" s="4" t="str">
        <x:v>Record opening balance. Apply an authorized credit/debit adjustment with reason, then encash the approved days. Compare the ledger and any required payroll handoff with LEAVEREF/PAYREF.</x:v>
      </x:c>
      <x:c r="J44" s="4" t="str">
        <x:v>Opening plus credits minus debits equals closing balance. Encashment days and amount match approved references; transactions remain traceable.</x:v>
      </x:c>
      <x:c r="K44" s="4" t="str">
        <x:v>Before/after IDs, screenshots or request/response outcome, calculations/files where applicable. Identify every subscenario and role.</x:v>
      </x:c>
    </x:row>
    <x:row r="45" ht="190" customHeight="1">
      <x:c r="A45" s="4" t="str">
        <x:v>LEV-05-C</x:v>
      </x:c>
      <x:c r="B45" s="4" t="str">
        <x:v>LEV-05</x:v>
      </x:c>
      <x:c r="C45" s="4" t="str">
        <x:v>Leave Management
Leave administrator</x:v>
      </x:c>
      <x:c r="D45" s="4" t="n">
        <x:v>2</x:v>
      </x:c>
      <x:c r="E45" s="4" t="str">
        <x:v>P0</x:v>
      </x:c>
      <x:c r="F45" s="4" t="str">
        <x:v>Ledger adjustments and encashment — control</x:v>
      </x:c>
      <x:c r="G45" s="4" t="str">
        <x:v>/HR/LeaveLedger</x:v>
      </x:c>
      <x:c r="H45" s="4" t="str">
        <x:v>LEAVEREF; PAYREF; USERS; POLICY</x:v>
      </x:c>
      <x:c r="I45" s="4" t="str">
        <x:v>Repeat the same submission, request excess encashment, use invalid employee/type references and attempt an adjustment without permission.</x:v>
      </x:c>
      <x:c r="J45" s="4" t="str">
        <x:v>No duplicate or unauthorized ledger/payroll transactions result. Excess/invalid requests follow POLICY; a missing required payroll handoff is recorded as a gap.</x:v>
      </x:c>
      <x:c r="K45" s="4" t="str">
        <x:v>Before/after IDs, screenshots or request/response outcome, calculations/files where applicable. Identify every subscenario and role.</x:v>
      </x:c>
    </x:row>
    <x:row r="46" ht="190" customHeight="1">
      <x:c r="A46" s="4" t="str">
        <x:v>PAY-01-P</x:v>
      </x:c>
      <x:c r="B46" s="4" t="str">
        <x:v>PAY-01</x:v>
      </x:c>
      <x:c r="C46" s="4" t="str">
        <x:v>Payroll and Compensation
Payroll manager / Finance</x:v>
      </x:c>
      <x:c r="D46" s="4" t="n">
        <x:v>3</x:v>
      </x:c>
      <x:c r="E46" s="4" t="str">
        <x:v>P0</x:v>
      </x:c>
      <x:c r="F46" s="4" t="str">
        <x:v>Components, contracts and structures — positive</x:v>
      </x:c>
      <x:c r="G46" s="4" t="str">
        <x:v>/Payroll/Components; /Payroll/Contracts; /Payroll/AssignContract; /HR/PayrollStructures</x:v>
      </x:c>
      <x:c r="H46" s="4" t="str">
        <x:v>PAYREF; PEOPLE; USERS; POLICY</x:v>
      </x:c>
      <x:c r="I46" s="4" t="str">
        <x:v>Create earnings/deduction components, a contract and a salary structure. Assign appropriate fixtures with effective dates. Reopen and inspect before/on/after each effective boundary.</x:v>
      </x:c>
      <x:c r="J46" s="4" t="str">
        <x:v>Amounts/formulas and assignment dates persist. The applicable salary basis is unambiguous and matches PAYREF for each boundary.</x:v>
      </x:c>
      <x:c r="K46" s="4" t="str">
        <x:v>Before/after IDs, screenshots or request/response outcome, calculations/files where applicable. Identify every subscenario and role.</x:v>
      </x:c>
    </x:row>
    <x:row r="47" ht="190" customHeight="1">
      <x:c r="A47" s="4" t="str">
        <x:v>PAY-01-C</x:v>
      </x:c>
      <x:c r="B47" s="4" t="str">
        <x:v>PAY-01</x:v>
      </x:c>
      <x:c r="C47" s="4" t="str">
        <x:v>Payroll and Compensation
Payroll manager / Finance</x:v>
      </x:c>
      <x:c r="D47" s="4" t="n">
        <x:v>3</x:v>
      </x:c>
      <x:c r="E47" s="4" t="str">
        <x:v>P0</x:v>
      </x:c>
      <x:c r="F47" s="4" t="str">
        <x:v>Components, contracts and structures — control</x:v>
      </x:c>
      <x:c r="G47" s="4" t="str">
        <x:v>/Payroll/Components; /Payroll/Contracts; /Payroll/AssignContract; /HR/PayrollStructures</x:v>
      </x:c>
      <x:c r="H47" s="4" t="str">
        <x:v>PAYREF; PEOPLE; USERS; POLICY</x:v>
      </x:c>
      <x:c r="I47" s="4" t="str">
        <x:v>Attempt invalid amounts/formulas, conflicting effective assignments, foreign-company employee references and edits without permission.</x:v>
      </x:c>
      <x:c r="J47" s="4" t="str">
        <x:v>Invalid/unauthorized assignments cannot create an ambiguous or unintended salary basis; errors identify rejected data.</x:v>
      </x:c>
      <x:c r="K47" s="4" t="str">
        <x:v>Before/after IDs, screenshots or request/response outcome, calculations/files where applicable. Identify every subscenario and role.</x:v>
      </x:c>
    </x:row>
    <x:row r="48" ht="190" customHeight="1">
      <x:c r="A48" s="4" t="str">
        <x:v>PAY-02-P</x:v>
      </x:c>
      <x:c r="B48" s="4" t="str">
        <x:v>PAY-02</x:v>
      </x:c>
      <x:c r="C48" s="4" t="str">
        <x:v>Payroll and Compensation
Payroll manager / Finance</x:v>
      </x:c>
      <x:c r="D48" s="4" t="n">
        <x:v>3</x:v>
      </x:c>
      <x:c r="E48" s="4" t="str">
        <x:v>P0</x:v>
      </x:c>
      <x:c r="F48" s="4" t="str">
        <x:v>Employee loans and installment recovery — positive</x:v>
      </x:c>
      <x:c r="G48" s="4" t="str">
        <x:v>/Payroll/Loans; /HR/Payslips; /Payroll/SalaryRuns</x:v>
      </x:c>
      <x:c r="H48" s="4" t="str">
        <x:v>PAYREF; PEOPLE; USERS; POLICY</x:v>
      </x:c>
      <x:c r="I48" s="4" t="str">
        <x:v>Create and approve EMP-LOAN loan with the reference installment schedule. Process one eligible payroll installment. Inspect deduction and outstanding balance. Cancel a separate unused loan.</x:v>
      </x:c>
      <x:c r="J48" s="4" t="str">
        <x:v>Only the approved eligible loan is recovered; installment and outstanding balance equal PAYREF; cancelled/unapproved loans are excluded.</x:v>
      </x:c>
      <x:c r="K48" s="4" t="str">
        <x:v>Before/after IDs, screenshots or request/response outcome, calculations/files where applicable. Identify every subscenario and role.</x:v>
      </x:c>
    </x:row>
    <x:row r="49" ht="190" customHeight="1">
      <x:c r="A49" s="4" t="str">
        <x:v>PAY-02-C</x:v>
      </x:c>
      <x:c r="B49" s="4" t="str">
        <x:v>PAY-02</x:v>
      </x:c>
      <x:c r="C49" s="4" t="str">
        <x:v>Payroll and Compensation
Payroll manager / Finance</x:v>
      </x:c>
      <x:c r="D49" s="4" t="n">
        <x:v>3</x:v>
      </x:c>
      <x:c r="E49" s="4" t="str">
        <x:v>P0</x:v>
      </x:c>
      <x:c r="F49" s="4" t="str">
        <x:v>Employee loans and installment recovery — control</x:v>
      </x:c>
      <x:c r="G49" s="4" t="str">
        <x:v>/Payroll/Loans; /HR/Payslips; /Payroll/SalaryRuns</x:v>
      </x:c>
      <x:c r="H49" s="4" t="str">
        <x:v>PAYREF; PEOPLE; USERS; POLICY</x:v>
      </x:c>
      <x:c r="I49" s="4" t="str">
        <x:v>Recalculate/repeat payroll, reverse the installment via the permitted payroll process, and reprocess. Try unauthorized approval and cancellation after recovery.</x:v>
      </x:c>
      <x:c r="J49" s="4" t="str">
        <x:v>Recovery occurs once; reversal restores the intended balance once. Subsequent cancellation follows POLICY without losing recovered history.</x:v>
      </x:c>
      <x:c r="K49" s="4" t="str">
        <x:v>Before/after IDs, screenshots or request/response outcome, calculations/files where applicable. Identify every subscenario and role.</x:v>
      </x:c>
    </x:row>
    <x:row r="50" ht="190" customHeight="1">
      <x:c r="A50" s="4" t="str">
        <x:v>PAY-03-P</x:v>
      </x:c>
      <x:c r="B50" s="4" t="str">
        <x:v>PAY-03</x:v>
      </x:c>
      <x:c r="C50" s="4" t="str">
        <x:v>Payroll and Compensation
Payroll manager / Finance</x:v>
      </x:c>
      <x:c r="D50" s="4" t="n">
        <x:v>3</x:v>
      </x:c>
      <x:c r="E50" s="4" t="str">
        <x:v>P0</x:v>
      </x:c>
      <x:c r="F50" s="4" t="str">
        <x:v>Salary-run workflow — positive</x:v>
      </x:c>
      <x:c r="G50" s="4" t="str">
        <x:v>/Payroll/SalaryRuns</x:v>
      </x:c>
      <x:c r="H50" s="4" t="str">
        <x:v>PAYREF; PEOPLE; USERS; POLICY</x:v>
      </x:c>
      <x:c r="I50" s="4" t="str">
        <x:v>Create and calculate salary runs for the designated legacy-workflow fixtures. Compare gross/deductions/net independently. Approve and commit the period. Undo a separate disposable run/period using permitted controls.</x:v>
      </x:c>
      <x:c r="J50" s="4" t="str">
        <x:v>Amounts match PAYREF to the approved rounding tolerance. Approval/commit/undo statuses and monetary side effects reconcile with the reference.</x:v>
      </x:c>
      <x:c r="K50" s="4" t="str">
        <x:v>Before/after IDs, screenshots or request/response outcome, calculations/files where applicable. Identify every subscenario and role.</x:v>
      </x:c>
    </x:row>
    <x:row r="51" ht="190" customHeight="1">
      <x:c r="A51" s="4" t="str">
        <x:v>PAY-03-C</x:v>
      </x:c>
      <x:c r="B51" s="4" t="str">
        <x:v>PAY-03</x:v>
      </x:c>
      <x:c r="C51" s="4" t="str">
        <x:v>Payroll and Compensation
Payroll manager / Finance</x:v>
      </x:c>
      <x:c r="D51" s="4" t="n">
        <x:v>3</x:v>
      </x:c>
      <x:c r="E51" s="4" t="str">
        <x:v>P0</x:v>
      </x:c>
      <x:c r="F51" s="4" t="str">
        <x:v>Salary-run workflow — control</x:v>
      </x:c>
      <x:c r="G51" s="4" t="str">
        <x:v>/Payroll/SalaryRuns</x:v>
      </x:c>
      <x:c r="H51" s="4" t="str">
        <x:v>PAYREF; PEOPLE; USERS; POLICY</x:v>
      </x:c>
      <x:c r="I51" s="4" t="str">
        <x:v>Create the same employee-period twice; repeat approve/commit/undo; attempt undo without override authority; use an employee-period already processed through payroll entries.</x:v>
      </x:c>
      <x:c r="J51" s="4" t="str">
        <x:v>No duplicate payout/accounting/recovery results across either workflow. Invalid/unauthorized actions fail; missing cross-workflow duplication control is a critical gap.</x:v>
      </x:c>
      <x:c r="K51" s="4" t="str">
        <x:v>Before/after IDs, screenshots or request/response outcome, calculations/files where applicable. Identify every subscenario and role.</x:v>
      </x:c>
    </x:row>
    <x:row r="52" ht="190" customHeight="1">
      <x:c r="A52" s="4" t="str">
        <x:v>PAY-04-P</x:v>
      </x:c>
      <x:c r="B52" s="4" t="str">
        <x:v>PAY-04</x:v>
      </x:c>
      <x:c r="C52" s="4" t="str">
        <x:v>Payroll and Compensation
Payroll manager / Finance</x:v>
      </x:c>
      <x:c r="D52" s="4" t="n">
        <x:v>3</x:v>
      </x:c>
      <x:c r="E52" s="4" t="str">
        <x:v>P0</x:v>
      </x:c>
      <x:c r="F52" s="4" t="str">
        <x:v>Payroll periods, entries, inputs and payslips — positive</x:v>
      </x:c>
      <x:c r="G52" s="4" t="str">
        <x:v>/HR/Payslips; /HR/WorkEntries; /HR/SaudiPayroll</x:v>
      </x:c>
      <x:c r="H52" s="4" t="str">
        <x:v>PAYREF; TIMELINE; LEAVEREF; USERS; POLICY</x:v>
      </x:c>
      <x:c r="I52" s="4" t="str">
        <x:v>Open the reference period; create employee payroll inputs and import the approved attendance work entries. Create/generate an entry, inspect and recalculate payslips, approve, mark paid and close. Use separate fixtures to reopen/cancel.</x:v>
      </x:c>
      <x:c r="J52" s="4" t="str">
        <x:v>Population, gross, deductions, net and loan balances match PAYREF. Attendance is counted once. Every allowed transition and resulting period/entry/payslip status persists.</x:v>
      </x:c>
      <x:c r="K52" s="4" t="str">
        <x:v>Before/after IDs, screenshots or request/response outcome, calculations/files where applicable. Identify every subscenario and role.</x:v>
      </x:c>
    </x:row>
    <x:row r="53" ht="190" customHeight="1">
      <x:c r="A53" s="4" t="str">
        <x:v>PAY-04-C</x:v>
      </x:c>
      <x:c r="B53" s="4" t="str">
        <x:v>PAY-04</x:v>
      </x:c>
      <x:c r="C53" s="4" t="str">
        <x:v>Payroll and Compensation
Payroll manager / Finance</x:v>
      </x:c>
      <x:c r="D53" s="4" t="n">
        <x:v>3</x:v>
      </x:c>
      <x:c r="E53" s="4" t="str">
        <x:v>P0</x:v>
      </x:c>
      <x:c r="F53" s="4" t="str">
        <x:v>Payroll periods, entries, inputs and payslips — control</x:v>
      </x:c>
      <x:c r="G53" s="4" t="str">
        <x:v>/HR/Payslips; /HR/WorkEntries; /HR/SaudiPayroll</x:v>
      </x:c>
      <x:c r="H53" s="4" t="str">
        <x:v>PAYREF; TIMELINE; LEAVEREF; USERS; POLICY</x:v>
      </x:c>
      <x:c r="I53" s="4" t="str">
        <x:v>Repeat generation, work-entry import and paid action; attempt edits in a closed period, approval without authority and payroll for an ineligible employee. Compare totals before/after.</x:v>
      </x:c>
      <x:c r="J53" s="4" t="str">
        <x:v>No duplicate slips, inputs or deductions. Closed/invalid states and unauthorized actions are blocked. Eligibility matches POLICY.</x:v>
      </x:c>
      <x:c r="K53" s="4" t="str">
        <x:v>Before/after IDs, screenshots or request/response outcome, calculations/files where applicable. Identify every subscenario and role.</x:v>
      </x:c>
    </x:row>
    <x:row r="54" ht="190" customHeight="1">
      <x:c r="A54" s="4" t="str">
        <x:v>PAY-05-P</x:v>
      </x:c>
      <x:c r="B54" s="4" t="str">
        <x:v>PAY-05</x:v>
      </x:c>
      <x:c r="C54" s="4" t="str">
        <x:v>Payroll and Compensation
Payroll manager / Finance</x:v>
      </x:c>
      <x:c r="D54" s="4" t="n">
        <x:v>3</x:v>
      </x:c>
      <x:c r="E54" s="4" t="str">
        <x:v>P0</x:v>
      </x:c>
      <x:c r="F54" s="4" t="str">
        <x:v>Payroll accounting posting — positive</x:v>
      </x:c>
      <x:c r="G54" s="4" t="str">
        <x:v>/HR/Payslips</x:v>
      </x:c>
      <x:c r="H54" s="4" t="str">
        <x:v>PAYREF; ACCOUNTING; USERS</x:v>
      </x:c>
      <x:c r="I54" s="4" t="str">
        <x:v>Post the approved test payroll entry. Inspect resulting journals in accounting using Finance access. Compare company, branch, accounts, debit/credit and totals to ACCOUNTING.</x:v>
      </x:c>
      <x:c r="J54" s="4" t="str">
        <x:v>Debits equal credits; journals match the payroll reference and intended company/branch. Posting links remain traceable.</x:v>
      </x:c>
      <x:c r="K54" s="4" t="str">
        <x:v>Before/after IDs, screenshots or request/response outcome, calculations/files where applicable. Identify every subscenario and role.</x:v>
      </x:c>
    </x:row>
    <x:row r="55" ht="190" customHeight="1">
      <x:c r="A55" s="4" t="str">
        <x:v>PAY-05-C</x:v>
      </x:c>
      <x:c r="B55" s="4" t="str">
        <x:v>PAY-05</x:v>
      </x:c>
      <x:c r="C55" s="4" t="str">
        <x:v>Payroll and Compensation
Payroll manager / Finance</x:v>
      </x:c>
      <x:c r="D55" s="4" t="n">
        <x:v>3</x:v>
      </x:c>
      <x:c r="E55" s="4" t="str">
        <x:v>P0</x:v>
      </x:c>
      <x:c r="F55" s="4" t="str">
        <x:v>Payroll accounting posting — control</x:v>
      </x:c>
      <x:c r="G55" s="4" t="str">
        <x:v>/HR/Payslips</x:v>
      </x:c>
      <x:c r="H55" s="4" t="str">
        <x:v>PAYREF; ACCOUNTING; USERS</x:v>
      </x:c>
      <x:c r="I55" s="4" t="str">
        <x:v>Post again. On a separate fixture deliberately use incomplete accounting setup, inspect failure state, correct the setup and retry. Try posting without permission.</x:v>
      </x:c>
      <x:c r="J55" s="4" t="str">
        <x:v>Repeated posting cannot duplicate journals. Failed posting leaves no partial/double posting; corrected retry succeeds once; unauthorized posting fails.</x:v>
      </x:c>
      <x:c r="K55" s="4" t="str">
        <x:v>Before/after IDs, screenshots or request/response outcome, calculations/files where applicable. Identify every subscenario and role.</x:v>
      </x:c>
    </x:row>
    <x:row r="56" ht="190" customHeight="1">
      <x:c r="A56" s="4" t="str">
        <x:v>PAY-06-P</x:v>
      </x:c>
      <x:c r="B56" s="4" t="str">
        <x:v>PAY-06</x:v>
      </x:c>
      <x:c r="C56" s="4" t="str">
        <x:v>Payroll and Compensation
Payroll manager / Finance</x:v>
      </x:c>
      <x:c r="D56" s="4" t="n">
        <x:v>3</x:v>
      </x:c>
      <x:c r="E56" s="4" t="str">
        <x:v>P0</x:v>
      </x:c>
      <x:c r="F56" s="4" t="str">
        <x:v>Saudi payroll, WPS and provision snapshots — positive</x:v>
      </x:c>
      <x:c r="G56" s="4" t="str">
        <x:v>/HR/SaudiPayroll</x:v>
      </x:c>
      <x:c r="H56" s="4" t="str">
        <x:v>PAYREF; WPS; EOS; USERS; POLICY</x:v>
      </x:c>
      <x:c r="I56" s="4" t="str">
        <x:v>Enter approved employee payroll information/rates. Generate a WPS batch from eligible approved payslips; obtain the actual file and validate schema, employee population and totals against WPS. Create an EOS snapshot for the reference date and compare to EOS.</x:v>
      </x:c>
      <x:c r="J56" s="4" t="str">
        <x:v>Inputs, calculations, WPS contents and EOS totals match the independently approved references. An actual consumable validated file is required to pass export; status alone is insufficient.</x:v>
      </x:c>
      <x:c r="K56" s="4" t="str">
        <x:v>Before/after IDs, screenshots or request/response outcome, calculations/files where applicable. Identify every subscenario and role.</x:v>
      </x:c>
    </x:row>
    <x:row r="57" ht="190" customHeight="1">
      <x:c r="A57" s="4" t="str">
        <x:v>PAY-06-C</x:v>
      </x:c>
      <x:c r="B57" s="4" t="str">
        <x:v>PAY-06</x:v>
      </x:c>
      <x:c r="C57" s="4" t="str">
        <x:v>Payroll and Compensation
Payroll manager / Finance</x:v>
      </x:c>
      <x:c r="D57" s="4" t="n">
        <x:v>3</x:v>
      </x:c>
      <x:c r="E57" s="4" t="str">
        <x:v>P0</x:v>
      </x:c>
      <x:c r="F57" s="4" t="str">
        <x:v>Saudi payroll, WPS and provision snapshots — control</x:v>
      </x:c>
      <x:c r="G57" s="4" t="str">
        <x:v>/HR/SaudiPayroll</x:v>
      </x:c>
      <x:c r="H57" s="4" t="str">
        <x:v>PAYREF; WPS; EOS; USERS; POLICY</x:v>
      </x:c>
      <x:c r="I57" s="4" t="str">
        <x:v>Use missing/invalid bank information, excluded employees and duplicate batch requests. Attempt exported-batch changes and snapshot creation without authority. Compare output again.</x:v>
      </x:c>
      <x:c r="J57" s="4" t="str">
        <x:v>Invalid WPS records are exposed and cannot appear as successful output. No duplicate payment batch or unauthorized change. If export only changes status, log a blocking export gap.</x:v>
      </x:c>
      <x:c r="K57" s="4" t="str">
        <x:v>Before/after IDs, screenshots or request/response outcome, calculations/files where applicable. Identify every subscenario and role.</x:v>
      </x:c>
    </x:row>
    <x:row r="58" ht="190" customHeight="1">
      <x:c r="A58" s="4" t="str">
        <x:v>PER-01-P</x:v>
      </x:c>
      <x:c r="B58" s="4" t="str">
        <x:v>PER-01</x:v>
      </x:c>
      <x:c r="C58" s="4" t="str">
        <x:v>Performance Management
Performance manager</x:v>
      </x:c>
      <x:c r="D58" s="4" t="n">
        <x:v>4</x:v>
      </x:c>
      <x:c r="E58" s="4" t="str">
        <x:v>P1</x:v>
      </x:c>
      <x:c r="F58" s="4" t="str">
        <x:v>Cycles, goals and competencies — positive</x:v>
      </x:c>
      <x:c r="G58" s="4" t="str">
        <x:v>/HR/Performance</x:v>
      </x:c>
      <x:c r="H58" s="4" t="str">
        <x:v>PERF; PEOPLE; USERS</x:v>
      </x:c>
      <x:c r="I58" s="4" t="str">
        <x:v>Create an appraisal cycle, goal definitions and competencies. Assign the prepared employee goals with reference weights. Start the cycle; refresh and inspect associations.</x:v>
      </x:c>
      <x:c r="J58" s="4" t="str">
        <x:v>Definitions, dates, weights and associations persist for the correct cycle and employees; available actions reflect the cycle state.</x:v>
      </x:c>
      <x:c r="K58" s="4" t="str">
        <x:v>Before/after IDs, screenshots or request/response outcome, calculations/files where applicable. Identify every subscenario and role.</x:v>
      </x:c>
    </x:row>
    <x:row r="59" ht="190" customHeight="1">
      <x:c r="A59" s="4" t="str">
        <x:v>PER-01-C</x:v>
      </x:c>
      <x:c r="B59" s="4" t="str">
        <x:v>PER-01</x:v>
      </x:c>
      <x:c r="C59" s="4" t="str">
        <x:v>Performance Management
Performance manager</x:v>
      </x:c>
      <x:c r="D59" s="4" t="n">
        <x:v>4</x:v>
      </x:c>
      <x:c r="E59" s="4" t="str">
        <x:v>P1</x:v>
      </x:c>
      <x:c r="F59" s="4" t="str">
        <x:v>Cycles, goals and competencies — control</x:v>
      </x:c>
      <x:c r="G59" s="4" t="str">
        <x:v>/HR/Performance</x:v>
      </x:c>
      <x:c r="H59" s="4" t="str">
        <x:v>PERF; PEOPLE; USERS</x:v>
      </x:c>
      <x:c r="I59" s="4" t="str">
        <x:v>Try invalid dates/weights, foreign-company employees, actions outside the active cycle and configuration without permission.</x:v>
      </x:c>
      <x:c r="J59" s="4" t="str">
        <x:v>Invalid or unauthorized configuration/actions are rejected without corrupting the cycle or employee goals.</x:v>
      </x:c>
      <x:c r="K59" s="4" t="str">
        <x:v>Before/after IDs, screenshots or request/response outcome, calculations/files where applicable. Identify every subscenario and role.</x:v>
      </x:c>
    </x:row>
    <x:row r="60" ht="190" customHeight="1">
      <x:c r="A60" s="4" t="str">
        <x:v>PER-02-P</x:v>
      </x:c>
      <x:c r="B60" s="4" t="str">
        <x:v>PER-02</x:v>
      </x:c>
      <x:c r="C60" s="4" t="str">
        <x:v>Performance Management
Performance manager</x:v>
      </x:c>
      <x:c r="D60" s="4" t="n">
        <x:v>4</x:v>
      </x:c>
      <x:c r="E60" s="4" t="str">
        <x:v>P1</x:v>
      </x:c>
      <x:c r="F60" s="4" t="str">
        <x:v>Scores, achievement and calculation — positive</x:v>
      </x:c>
      <x:c r="G60" s="4" t="str">
        <x:v>/HR/Performance</x:v>
      </x:c>
      <x:c r="H60" s="4" t="str">
        <x:v>PERF; USERS</x:v>
      </x:c>
      <x:c r="I60" s="4" t="str">
        <x:v>Enter the reference achievement and competency scores. Create/recalculate the appraisal and compare components, weights, total and rating to the independent PERF calculation.</x:v>
      </x:c>
      <x:c r="J60" s="4" t="str">
        <x:v>All score components and final rating match the approved reference/rounding. Recalculation yields the same result for unchanged inputs.</x:v>
      </x:c>
      <x:c r="K60" s="4" t="str">
        <x:v>Before/after IDs, screenshots or request/response outcome, calculations/files where applicable. Identify every subscenario and role.</x:v>
      </x:c>
    </x:row>
    <x:row r="61" ht="190" customHeight="1">
      <x:c r="A61" s="4" t="str">
        <x:v>PER-02-C</x:v>
      </x:c>
      <x:c r="B61" s="4" t="str">
        <x:v>PER-02</x:v>
      </x:c>
      <x:c r="C61" s="4" t="str">
        <x:v>Performance Management
Performance manager</x:v>
      </x:c>
      <x:c r="D61" s="4" t="n">
        <x:v>4</x:v>
      </x:c>
      <x:c r="E61" s="4" t="str">
        <x:v>P1</x:v>
      </x:c>
      <x:c r="F61" s="4" t="str">
        <x:v>Scores, achievement and calculation — control</x:v>
      </x:c>
      <x:c r="G61" s="4" t="str">
        <x:v>/HR/Performance</x:v>
      </x:c>
      <x:c r="H61" s="4" t="str">
        <x:v>PERF; USERS</x:v>
      </x:c>
      <x:c r="I61" s="4" t="str">
        <x:v>Submit out-of-range scores, missing required scores and invalid weights. Change one valid score, recalculate, then restore it and recalculate again.</x:v>
      </x:c>
      <x:c r="J61" s="4" t="str">
        <x:v>Invalid inputs fail or visibly block a final result. Valid edits change the result as expected and restoration reproduces the reference total.</x:v>
      </x:c>
      <x:c r="K61" s="4" t="str">
        <x:v>Before/after IDs, screenshots or request/response outcome, calculations/files where applicable. Identify every subscenario and role.</x:v>
      </x:c>
    </x:row>
    <x:row r="62" ht="190" customHeight="1">
      <x:c r="A62" s="4" t="str">
        <x:v>PER-03-P</x:v>
      </x:c>
      <x:c r="B62" s="4" t="str">
        <x:v>PER-03</x:v>
      </x:c>
      <x:c r="C62" s="4" t="str">
        <x:v>Performance Management
Performance manager</x:v>
      </x:c>
      <x:c r="D62" s="4" t="n">
        <x:v>4</x:v>
      </x:c>
      <x:c r="E62" s="4" t="str">
        <x:v>P1</x:v>
      </x:c>
      <x:c r="F62" s="4" t="str">
        <x:v>Appraisal submission, review and approval — positive</x:v>
      </x:c>
      <x:c r="G62" s="4" t="str">
        <x:v>/HR/Performance</x:v>
      </x:c>
      <x:c r="H62" s="4" t="str">
        <x:v>PERF; USERS; POLICY</x:v>
      </x:c>
      <x:c r="I62" s="4" t="str">
        <x:v>Submit employee feedback, record manager review, approve and close the cycle. Use a separate appraisal for cancellation. Refresh evaluation/history.</x:v>
      </x:c>
      <x:c r="J62" s="4" t="str">
        <x:v>Employee/manager feedback, decisions and final results persist in the correct sequence; cancelled records remain distinct from approved results.</x:v>
      </x:c>
      <x:c r="K62" s="4" t="str">
        <x:v>Before/after IDs, screenshots or request/response outcome, calculations/files where applicable. Identify every subscenario and role.</x:v>
      </x:c>
    </x:row>
    <x:row r="63" ht="190" customHeight="1">
      <x:c r="A63" s="4" t="str">
        <x:v>PER-03-C</x:v>
      </x:c>
      <x:c r="B63" s="4" t="str">
        <x:v>PER-03</x:v>
      </x:c>
      <x:c r="C63" s="4" t="str">
        <x:v>Performance Management
Performance manager</x:v>
      </x:c>
      <x:c r="D63" s="4" t="n">
        <x:v>4</x:v>
      </x:c>
      <x:c r="E63" s="4" t="str">
        <x:v>P1</x:v>
      </x:c>
      <x:c r="F63" s="4" t="str">
        <x:v>Appraisal submission, review and approval — control</x:v>
      </x:c>
      <x:c r="G63" s="4" t="str">
        <x:v>/HR/Performance</x:v>
      </x:c>
      <x:c r="H63" s="4" t="str">
        <x:v>PERF; USERS; POLICY</x:v>
      </x:c>
      <x:c r="I63" s="4" t="str">
        <x:v>Attempt approval before review, employee self-approval, unauthorized access to another employee, and edits after finalization. Repeat final approval.</x:v>
      </x:c>
      <x:c r="J63" s="4" t="str">
        <x:v>Role/state restrictions prevent unauthorized or repeated finalization and silent changes to finalized results.</x:v>
      </x:c>
      <x:c r="K63" s="4" t="str">
        <x:v>Before/after IDs, screenshots or request/response outcome, calculations/files where applicable. Identify every subscenario and role.</x:v>
      </x:c>
    </x:row>
    <x:row r="64" ht="190" customHeight="1">
      <x:c r="A64" s="4" t="str">
        <x:v>TRN-01-P</x:v>
      </x:c>
      <x:c r="B64" s="4" t="str">
        <x:v>TRN-01</x:v>
      </x:c>
      <x:c r="C64" s="4" t="str">
        <x:v>Training and Development
Training coordinator</x:v>
      </x:c>
      <x:c r="D64" s="4" t="n">
        <x:v>4</x:v>
      </x:c>
      <x:c r="E64" s="4" t="str">
        <x:v>P1</x:v>
      </x:c>
      <x:c r="F64" s="4" t="str">
        <x:v>Training programs and events — positive</x:v>
      </x:c>
      <x:c r="G64" s="4" t="str">
        <x:v>/HR/Training</x:v>
      </x:c>
      <x:c r="H64" s="4" t="str">
        <x:v>TRAIN; USERS</x:v>
      </x:c>
      <x:c r="I64" s="4" t="str">
        <x:v>Create a program and dated event. Edit the draft; open, start and complete it. Create a separate event and cancel it. Refresh and filter program/status.</x:v>
      </x:c>
      <x:c r="J64" s="4" t="str">
        <x:v>Program/event details and states persist; filters return the correct events and transitions follow the approved sequence.</x:v>
      </x:c>
      <x:c r="K64" s="4" t="str">
        <x:v>Before/after IDs, screenshots or request/response outcome, calculations/files where applicable. Identify every subscenario and role.</x:v>
      </x:c>
    </x:row>
    <x:row r="65" ht="190" customHeight="1">
      <x:c r="A65" s="4" t="str">
        <x:v>TRN-01-C</x:v>
      </x:c>
      <x:c r="B65" s="4" t="str">
        <x:v>TRN-01</x:v>
      </x:c>
      <x:c r="C65" s="4" t="str">
        <x:v>Training and Development
Training coordinator</x:v>
      </x:c>
      <x:c r="D65" s="4" t="n">
        <x:v>4</x:v>
      </x:c>
      <x:c r="E65" s="4" t="str">
        <x:v>P1</x:v>
      </x:c>
      <x:c r="F65" s="4" t="str">
        <x:v>Training programs and events — control</x:v>
      </x:c>
      <x:c r="G65" s="4" t="str">
        <x:v>/HR/Training</x:v>
      </x:c>
      <x:c r="H65" s="4" t="str">
        <x:v>TRAIN; USERS</x:v>
      </x:c>
      <x:c r="I65" s="4" t="str">
        <x:v>Try reversed dates, invalid transition order, editing a completed event without authority and create/cancel as a read-only user.</x:v>
      </x:c>
      <x:c r="J65" s="4" t="str">
        <x:v>Invalid/unauthorized actions fail without changing completed event data.</x:v>
      </x:c>
      <x:c r="K65" s="4" t="str">
        <x:v>Before/after IDs, screenshots or request/response outcome, calculations/files where applicable. Identify every subscenario and role.</x:v>
      </x:c>
    </x:row>
    <x:row r="66" ht="190" customHeight="1">
      <x:c r="A66" s="4" t="str">
        <x:v>TRN-02-P</x:v>
      </x:c>
      <x:c r="B66" s="4" t="str">
        <x:v>TRN-02</x:v>
      </x:c>
      <x:c r="C66" s="4" t="str">
        <x:v>Training and Development
Training coordinator</x:v>
      </x:c>
      <x:c r="D66" s="4" t="n">
        <x:v>4</x:v>
      </x:c>
      <x:c r="E66" s="4" t="str">
        <x:v>P1</x:v>
      </x:c>
      <x:c r="F66" s="4" t="str">
        <x:v>Enrollment, attendance and results — positive</x:v>
      </x:c>
      <x:c r="G66" s="4" t="str">
        <x:v>/HR/Training</x:v>
      </x:c>
      <x:c r="H66" s="4" t="str">
        <x:v>TRAIN; PEOPLE; USERS</x:v>
      </x:c>
      <x:c r="I66" s="4" t="str">
        <x:v>Enroll EMP-REG and EMP-NIGHT in the event. Mark attended/absent respectively and record their distinct results. Refresh and compare attendee lists.</x:v>
      </x:c>
      <x:c r="J66" s="4" t="str">
        <x:v>Correct employees are enrolled once; attendance/results remain associated with the intended attendee and event.</x:v>
      </x:c>
      <x:c r="K66" s="4" t="str">
        <x:v>Before/after IDs, screenshots or request/response outcome, calculations/files where applicable. Identify every subscenario and role.</x:v>
      </x:c>
    </x:row>
    <x:row r="67" ht="190" customHeight="1">
      <x:c r="A67" s="4" t="str">
        <x:v>TRN-02-C</x:v>
      </x:c>
      <x:c r="B67" s="4" t="str">
        <x:v>TRN-02</x:v>
      </x:c>
      <x:c r="C67" s="4" t="str">
        <x:v>Training and Development
Training coordinator</x:v>
      </x:c>
      <x:c r="D67" s="4" t="n">
        <x:v>4</x:v>
      </x:c>
      <x:c r="E67" s="4" t="str">
        <x:v>P1</x:v>
      </x:c>
      <x:c r="F67" s="4" t="str">
        <x:v>Enrollment, attendance and results — control</x:v>
      </x:c>
      <x:c r="G67" s="4" t="str">
        <x:v>/HR/Training</x:v>
      </x:c>
      <x:c r="H67" s="4" t="str">
        <x:v>TRAIN; PEOPLE; USERS</x:v>
      </x:c>
      <x:c r="I67" s="4" t="str">
        <x:v>Enroll the same employee twice; submit a foreign-company employee and invalid result; record attendance/results without permission.</x:v>
      </x:c>
      <x:c r="J67" s="4" t="str">
        <x:v>Duplicate/invalid enrollment and unauthorized writes fail; no result leaks to another attendee.</x:v>
      </x:c>
      <x:c r="K67" s="4" t="str">
        <x:v>Before/after IDs, screenshots or request/response outcome, calculations/files where applicable. Identify every subscenario and role.</x:v>
      </x:c>
    </x:row>
    <x:row r="68" ht="190" customHeight="1">
      <x:c r="A68" s="4" t="str">
        <x:v>TRN-03-P</x:v>
      </x:c>
      <x:c r="B68" s="4" t="str">
        <x:v>TRN-03</x:v>
      </x:c>
      <x:c r="C68" s="4" t="str">
        <x:v>Training and Development
Training coordinator</x:v>
      </x:c>
      <x:c r="D68" s="4" t="n">
        <x:v>4</x:v>
      </x:c>
      <x:c r="E68" s="4" t="str">
        <x:v>P1</x:v>
      </x:c>
      <x:c r="F68" s="4" t="str">
        <x:v>Certificates and training history — positive</x:v>
      </x:c>
      <x:c r="G68" s="4" t="str">
        <x:v>/HR/Training; /HR/EmployeeSkills; /HR/Reports</x:v>
      </x:c>
      <x:c r="H68" s="4" t="str">
        <x:v>TRAIN; FILES; PEOPLE; POLICY; USERS</x:v>
      </x:c>
      <x:c r="I68" s="4" t="str">
        <x:v>Link the synthetic certificate to the completed attendee. Open it and inspect event/employee training history. Compare any required employee-certification synchronization against POLICY.</x:v>
      </x:c>
      <x:c r="J68" s="4" t="str">
        <x:v>Certificate opens for the authorized user and belongs to the correct attendee; history reconciles with completed events. Required synchronization is demonstrated or logged as a gap.</x:v>
      </x:c>
      <x:c r="K68" s="4" t="str">
        <x:v>Before/after IDs, screenshots or request/response outcome, calculations/files where applicable. Identify every subscenario and role.</x:v>
      </x:c>
    </x:row>
    <x:row r="69" ht="190" customHeight="1">
      <x:c r="A69" s="4" t="str">
        <x:v>TRN-03-C</x:v>
      </x:c>
      <x:c r="B69" s="4" t="str">
        <x:v>TRN-03</x:v>
      </x:c>
      <x:c r="C69" s="4" t="str">
        <x:v>Training and Development
Training coordinator</x:v>
      </x:c>
      <x:c r="D69" s="4" t="n">
        <x:v>4</x:v>
      </x:c>
      <x:c r="E69" s="4" t="str">
        <x:v>P1</x:v>
      </x:c>
      <x:c r="F69" s="4" t="str">
        <x:v>Certificates and training history — control</x:v>
      </x:c>
      <x:c r="G69" s="4" t="str">
        <x:v>/HR/Training; /HR/EmployeeSkills; /HR/Reports</x:v>
      </x:c>
      <x:c r="H69" s="4" t="str">
        <x:v>TRAIN; FILES; PEOPLE; POLICY; USERS</x:v>
      </x:c>
      <x:c r="I69" s="4" t="str">
        <x:v>Try an invalid certificate link, another attendee/company ID and unauthorized access. Inspect history for an absent or cancelled attendee.</x:v>
      </x:c>
      <x:c r="J69" s="4" t="str">
        <x:v>Invalid/unauthorized certificate access and association fail. History does not falsely show completion or certification for cancelled/absent attendees.</x:v>
      </x:c>
      <x:c r="K69" s="4" t="str">
        <x:v>Before/after IDs, screenshots or request/response outcome, calculations/files where applicable. Identify every subscenario and role.</x:v>
      </x:c>
    </x:row>
    <x:row r="70" ht="190" customHeight="1">
      <x:c r="A70" s="4" t="str">
        <x:v>CTL-01-P</x:v>
      </x:c>
      <x:c r="B70" s="4" t="str">
        <x:v>CTL-01</x:v>
      </x:c>
      <x:c r="C70" s="4" t="str">
        <x:v>Shared Reporting and Controls
HR manager / system administrator</x:v>
      </x:c>
      <x:c r="D70" s="4" t="n">
        <x:v>1</x:v>
      </x:c>
      <x:c r="E70" s="4" t="str">
        <x:v>P1</x:v>
      </x:c>
      <x:c r="F70" s="4" t="str">
        <x:v>Dashboards, reports and exports — positive</x:v>
      </x:c>
      <x:c r="G70" s="4" t="str">
        <x:v>/Employee/Dashboard; /HR/Reports; /Attendance/Reports; /LeavesManagement/Reports</x:v>
      </x:c>
      <x:c r="H70" s="4" t="str">
        <x:v>REPORTREF; USERS</x:v>
      </x:c>
      <x:c r="I70" s="4" t="str">
        <x:v>For each HR area, record filter values and run the matching report/dashboard. Compare record IDs, counts and monetary/time totals with REPORTREF. Export where offered and compare file contents.</x:v>
      </x:c>
      <x:c r="J70" s="4" t="str">
        <x:v>Displayed and exported populations/totals agree with the same reference and filters. Required but unavailable reporting/export is recorded as a gap.</x:v>
      </x:c>
      <x:c r="K70" s="4" t="str">
        <x:v>Before/after IDs, screenshots or request/response outcome, calculations/files where applicable. Identify every subscenario and role.</x:v>
      </x:c>
    </x:row>
    <x:row r="71" ht="190" customHeight="1">
      <x:c r="A71" s="4" t="str">
        <x:v>CTL-01-C</x:v>
      </x:c>
      <x:c r="B71" s="4" t="str">
        <x:v>CTL-01</x:v>
      </x:c>
      <x:c r="C71" s="4" t="str">
        <x:v>Shared Reporting and Controls
HR manager / system administrator</x:v>
      </x:c>
      <x:c r="D71" s="4" t="n">
        <x:v>1</x:v>
      </x:c>
      <x:c r="E71" s="4" t="str">
        <x:v>P1</x:v>
      </x:c>
      <x:c r="F71" s="4" t="str">
        <x:v>Dashboards, reports and exports — control</x:v>
      </x:c>
      <x:c r="G71" s="4" t="str">
        <x:v>/Employee/Dashboard; /HR/Reports; /Attendance/Reports; /LeavesManagement/Reports</x:v>
      </x:c>
      <x:c r="H71" s="4" t="str">
        <x:v>REPORTREF; USERS</x:v>
      </x:c>
      <x:c r="I71" s="4" t="str">
        <x:v>Test no-match filters, date cutoffs, branch changes and pagination. Export after changing filters; inspect for stale or out-of-scope records.</x:v>
      </x:c>
      <x:c r="J71" s="4" t="str">
        <x:v>Empty views show no stale totals. Boundary, paginated and exported data respect filters and access scope.</x:v>
      </x:c>
      <x:c r="K71" s="4" t="str">
        <x:v>Before/after IDs, screenshots or request/response outcome, calculations/files where applicable. Identify every subscenario and role.</x:v>
      </x:c>
    </x:row>
    <x:row r="72" ht="190" customHeight="1">
      <x:c r="A72" s="4" t="str">
        <x:v>CTL-02-P</x:v>
      </x:c>
      <x:c r="B72" s="4" t="str">
        <x:v>CTL-02</x:v>
      </x:c>
      <x:c r="C72" s="4" t="str">
        <x:v>Shared Reporting and Controls
HR manager / system administrator</x:v>
      </x:c>
      <x:c r="D72" s="4" t="n">
        <x:v>1</x:v>
      </x:c>
      <x:c r="E72" s="4" t="str">
        <x:v>P0</x:v>
      </x:c>
      <x:c r="F72" s="4" t="str">
        <x:v>Role, employee, company and branch access — positive</x:v>
      </x:c>
      <x:c r="G72" s="4" t="str">
        <x:v>All HR routes and their corresponding API requests</x:v>
      </x:c>
      <x:c r="H72" s="4" t="str">
        <x:v>USERS; ORG; PEOPLE; POLICY</x:v>
      </x:c>
      <x:c r="I72" s="4" t="str">
        <x:v>For every workstream use its specialist, approver and employee test accounts. Exercise the permitted reads/writes. Repeat branch reads as the restricted manager and separately as the explicitly authorized view-all user.</x:v>
      </x:c>
      <x:c r="J72" s="4" t="str">
        <x:v>Allowed operations work only within assigned role, employee and company/branch scope. View-all scope does not grant missing action permission.</x:v>
      </x:c>
      <x:c r="K72" s="4" t="str">
        <x:v>Before/after IDs, screenshots or request/response outcome, calculations/files where applicable. Identify every subscenario and role.</x:v>
      </x:c>
    </x:row>
    <x:row r="73" ht="190" customHeight="1">
      <x:c r="A73" s="4" t="str">
        <x:v>CTL-02-C</x:v>
      </x:c>
      <x:c r="B73" s="4" t="str">
        <x:v>CTL-02</x:v>
      </x:c>
      <x:c r="C73" s="4" t="str">
        <x:v>Shared Reporting and Controls
HR manager / system administrator</x:v>
      </x:c>
      <x:c r="D73" s="4" t="n">
        <x:v>1</x:v>
      </x:c>
      <x:c r="E73" s="4" t="str">
        <x:v>P0</x:v>
      </x:c>
      <x:c r="F73" s="4" t="str">
        <x:v>Role, employee, company and branch access — control</x:v>
      </x:c>
      <x:c r="G73" s="4" t="str">
        <x:v>All HR routes and their corresponding API requests</x:v>
      </x:c>
      <x:c r="H73" s="4" t="str">
        <x:v>USERS; ORG; PEOPLE; POLICY</x:v>
      </x:c>
      <x:c r="I73" s="4" t="str">
        <x:v>For every workstream try read/create/edit/delete/approve as applicable with the permission removed. Replay corresponding requests using another employee/company/branch ID. Include no-HR-access and signed-out sessions; test transfer source and destination.</x:v>
      </x:c>
      <x:c r="J73" s="4" t="str">
        <x:v>Server rejects prohibited operations and discloses no protected data. Hidden buttons alone are insufficient. Record each endpoint/action/identity combination and expected denial in evidence.</x:v>
      </x:c>
      <x:c r="K73" s="4" t="str">
        <x:v>Before/after IDs, screenshots or request/response outcome, calculations/files where applicable. Identify every subscenario and role.</x:v>
      </x:c>
    </x:row>
    <x:row r="74" ht="190" customHeight="1">
      <x:c r="A74" s="4" t="str">
        <x:v>CTL-03-P</x:v>
      </x:c>
      <x:c r="B74" s="4" t="str">
        <x:v>CTL-03</x:v>
      </x:c>
      <x:c r="C74" s="4" t="str">
        <x:v>Shared Reporting and Controls
HR manager / system administrator</x:v>
      </x:c>
      <x:c r="D74" s="4" t="n">
        <x:v>1</x:v>
      </x:c>
      <x:c r="E74" s="4" t="str">
        <x:v>P1</x:v>
      </x:c>
      <x:c r="F74" s="4" t="str">
        <x:v>Arabic and English usability — positive</x:v>
      </x:c>
      <x:c r="G74" s="4" t="str">
        <x:v>All HR list/form/approval/report routes</x:v>
      </x:c>
      <x:c r="H74" s="4" t="str">
        <x:v>USERS; PEOPLE</x:v>
      </x:c>
      <x:c r="I74" s="4" t="str">
        <x:v>In each workstream open a list and form; enter unsaved synthetic values. Toggle English/Arabic in both directions, then save. Inspect labels, direction, selectors, validation and tables.</x:v>
      </x:c>
      <x:c r="J74" s="4" t="str">
        <x:v>Language and direction update without losing values; controls, names, dates and numbers remain readable and usable; saved business values remain the same.</x:v>
      </x:c>
      <x:c r="K74" s="4" t="str">
        <x:v>Before/after IDs, screenshots or request/response outcome, calculations/files where applicable. Identify every subscenario and role.</x:v>
      </x:c>
    </x:row>
    <x:row r="75" ht="190" customHeight="1">
      <x:c r="A75" s="4" t="str">
        <x:v>CTL-03-C</x:v>
      </x:c>
      <x:c r="B75" s="4" t="str">
        <x:v>CTL-03</x:v>
      </x:c>
      <x:c r="C75" s="4" t="str">
        <x:v>Shared Reporting and Controls
HR manager / system administrator</x:v>
      </x:c>
      <x:c r="D75" s="4" t="n">
        <x:v>1</x:v>
      </x:c>
      <x:c r="E75" s="4" t="str">
        <x:v>P1</x:v>
      </x:c>
      <x:c r="F75" s="4" t="str">
        <x:v>Arabic and English usability — control</x:v>
      </x:c>
      <x:c r="G75" s="4" t="str">
        <x:v>All HR list/form/approval/report routes</x:v>
      </x:c>
      <x:c r="H75" s="4" t="str">
        <x:v>USERS; PEOPLE</x:v>
      </x:c>
      <x:c r="I75" s="4" t="str">
        <x:v>Repeat toggle during validation, with long Arabic/English names, in modals and at a narrow viewport. Inspect approval and report controls for clipping or inaccessible actions.</x:v>
      </x:c>
      <x:c r="J75" s="4" t="str">
        <x:v>Errors/actions remain understandable and reachable. Toggle does not reset selected employee, duplicate save or reverse business values.</x:v>
      </x:c>
      <x:c r="K75" s="4" t="str">
        <x:v>Before/after IDs, screenshots or request/response outcome, calculations/files where applicable. Identify every subscenario and role.</x:v>
      </x:c>
    </x:row>
    <x:row r="76" ht="190" customHeight="1">
      <x:c r="A76" s="4" t="str">
        <x:v>CTL-04-P</x:v>
      </x:c>
      <x:c r="B76" s="4" t="str">
        <x:v>CTL-04</x:v>
      </x:c>
      <x:c r="C76" s="4" t="str">
        <x:v>Shared Reporting and Controls
HR manager / system administrator</x:v>
      </x:c>
      <x:c r="D76" s="4" t="n">
        <x:v>1</x:v>
      </x:c>
      <x:c r="E76" s="4" t="str">
        <x:v>P0</x:v>
      </x:c>
      <x:c r="F76" s="4" t="str">
        <x:v>Failures, validation and repeat actions — positive</x:v>
      </x:c>
      <x:c r="G76" s="4" t="str">
        <x:v>All HR create/edit/approval routes</x:v>
      </x:c>
      <x:c r="H76" s="4" t="str">
        <x:v>USERS; POLICY</x:v>
      </x:c>
      <x:c r="I76" s="4" t="str">
        <x:v>For each workstream save a valid record and refresh. In the isolated UAT session simulate a failed request, observe feedback, restore connectivity and retry using the same fixture.</x:v>
      </x:c>
      <x:c r="J76" s="4" t="str">
        <x:v>Committed values survive refresh. Failed requests do not show success; retry produces the intended single committed change.</x:v>
      </x:c>
      <x:c r="K76" s="4" t="str">
        <x:v>Before/after IDs, screenshots or request/response outcome, calculations/files where applicable. Identify every subscenario and role.</x:v>
      </x:c>
    </x:row>
    <x:row r="77" ht="190" customHeight="1">
      <x:c r="A77" s="4" t="str">
        <x:v>CTL-04-C</x:v>
      </x:c>
      <x:c r="B77" s="4" t="str">
        <x:v>CTL-04</x:v>
      </x:c>
      <x:c r="C77" s="4" t="str">
        <x:v>Shared Reporting and Controls
HR manager / system administrator</x:v>
      </x:c>
      <x:c r="D77" s="4" t="n">
        <x:v>1</x:v>
      </x:c>
      <x:c r="E77" s="4" t="str">
        <x:v>P0</x:v>
      </x:c>
      <x:c r="F77" s="4" t="str">
        <x:v>Failures, validation and repeat actions — control</x:v>
      </x:c>
      <x:c r="G77" s="4" t="str">
        <x:v>All HR create/edit/approval routes</x:v>
      </x:c>
      <x:c r="H77" s="4" t="str">
        <x:v>USERS; POLICY</x:v>
      </x:c>
      <x:c r="I77" s="4" t="str">
        <x:v>Double-click save/approve, repeat the same request, submit invalid fields and refresh during a failed save. Compare record and transaction counts before/after.</x:v>
      </x:c>
      <x:c r="J77" s="4" t="str">
        <x:v>No duplicate business transaction or partial update is hidden. Clear errors preserve recoverable input; repeated actions cannot falsely succeed.</x:v>
      </x:c>
      <x:c r="K77" s="4" t="str">
        <x:v>Before/after IDs, screenshots or request/response outcome, calculations/files where applicable. Identify every subscenario and role.</x:v>
      </x:c>
    </x:row>
    <x:row r="78" ht="190" customHeight="1">
      <x:c r="A78" s="4" t="str">
        <x:v>E2E-01</x:v>
      </x:c>
      <x:c r="B78" s="4" t="str">
        <x:v>E2E-01</x:v>
      </x:c>
      <x:c r="C78" s="4" t="str">
        <x:v>End-to-End Journeys
UAT coordinator / workstream owners</x:v>
      </x:c>
      <x:c r="D78" s="4" t="n">
        <x:v>5</x:v>
      </x:c>
      <x:c r="E78" s="4" t="str">
        <x:v>P0</x:v>
      </x:c>
      <x:c r="F78" s="4" t="str">
        <x:v>Recruit to salary assignment</x:v>
      </x:c>
      <x:c r="G78" s="4" t="str">
        <x:v>/HR/Recruitment; /Employee/Employee/List; /HR/PayrollStructures</x:v>
      </x:c>
      <x:c r="H78" s="4" t="str">
        <x:v>RECRUIT; PEOPLE; PAYREF; USERS</x:v>
      </x:c>
      <x:c r="I78" s="4" t="str">
        <x:v>Create/open requisition; register applicant; record interview; accept offer; create/identify employee and link offer; assign salary basis. Refresh each stage and capture IDs.</x:v>
      </x:c>
      <x:c r="J78" s="4" t="str">
        <x:v>One applicant, accepted offer and employee are linked correctly; the employee has the approved effective salary assignment. Manual handoffs are documented; no automatic creation is assumed.</x:v>
      </x:c>
      <x:c r="K78" s="4" t="str">
        <x:v>Before/after IDs, screenshots or request/response outcome, calculations/files where applicable. Identify every subscenario and role.</x:v>
      </x:c>
    </x:row>
    <x:row r="79" ht="190" customHeight="1">
      <x:c r="A79" s="4" t="str">
        <x:v>E2E-02</x:v>
      </x:c>
      <x:c r="B79" s="4" t="str">
        <x:v>E2E-02</x:v>
      </x:c>
      <x:c r="C79" s="4" t="str">
        <x:v>End-to-End Journeys
UAT coordinator / workstream owners</x:v>
      </x:c>
      <x:c r="D79" s="4" t="n">
        <x:v>5</x:v>
      </x:c>
      <x:c r="E79" s="4" t="str">
        <x:v>P0</x:v>
      </x:c>
      <x:c r="F79" s="4" t="str">
        <x:v>Attendance to accounting</x:v>
      </x:c>
      <x:c r="G79" s="4" t="str">
        <x:v>/Attendance/MyAttendance; /HR/AttendanceRoster; /HR/WorkEntries; /HR/SaudiPayroll; /HR/Payslips</x:v>
      </x:c>
      <x:c r="H79" s="4" t="str">
        <x:v>TIMELINE; LEAVEREF; PAYREF; ACCOUNTING; USERS</x:v>
      </x:c>
      <x:c r="I79" s="4" t="str">
        <x:v>Record session; approve/apply correction; generate, approve and lock work entry; import once to payroll; generate and approve payslip; post accounting. Compare quantities and amounts at every handoff.</x:v>
      </x:c>
      <x:c r="J79" s="4" t="str">
        <x:v>Session, work entry, payroll input, payslip and journal IDs are traceable. Hours and money reconcile without duplicate consumption or posting. Missing action UI is a gap.</x:v>
      </x:c>
      <x:c r="K79" s="4" t="str">
        <x:v>Before/after IDs, screenshots or request/response outcome, calculations/files where applicable. Identify every subscenario and role.</x:v>
      </x:c>
    </x:row>
    <x:row r="80" ht="190" customHeight="1">
      <x:c r="A80" s="4" t="str">
        <x:v>E2E-03</x:v>
      </x:c>
      <x:c r="B80" s="4" t="str">
        <x:v>E2E-03</x:v>
      </x:c>
      <x:c r="C80" s="4" t="str">
        <x:v>End-to-End Journeys
UAT coordinator / workstream owners</x:v>
      </x:c>
      <x:c r="D80" s="4" t="n">
        <x:v>5</x:v>
      </x:c>
      <x:c r="E80" s="4" t="str">
        <x:v>P0</x:v>
      </x:c>
      <x:c r="F80" s="4" t="str">
        <x:v>Leave allocation to cancellation</x:v>
      </x:c>
      <x:c r="G80" s="4" t="str">
        <x:v>/HR/LeavePolicies; /LeavesManagement/MyLeaveApplications; /HR/LeaveApplications; /HR/LeaveLedger; /Attendance/Reports</x:v>
      </x:c>
      <x:c r="H80" s="4" t="str">
        <x:v>LEAVEREF; CALENDAR; USERS</x:v>
      </x:c>
      <x:c r="I80" s="4" t="str">
        <x:v>Allocate entitlement; employee submits leave; manager approves; inspect attendance and payroll-facing work entries; reconcile balance; cancel through permitted process and reconcile again.</x:v>
      </x:c>
      <x:c r="J80" s="4" t="str">
        <x:v>Approval affects intended days once; cancellation restores correct leave/attendance treatment. Opening, debit, reversal and closing amounts reconcile across screens.</x:v>
      </x:c>
      <x:c r="K80" s="4" t="str">
        <x:v>Before/after IDs, screenshots or request/response outcome, calculations/files where applicable. Identify every subscenario and role.</x:v>
      </x:c>
    </x:row>
    <x:row r="81" ht="190" customHeight="1">
      <x:c r="A81" s="4" t="str">
        <x:v>E2E-04</x:v>
      </x:c>
      <x:c r="B81" s="4" t="str">
        <x:v>E2E-04</x:v>
      </x:c>
      <x:c r="C81" s="4" t="str">
        <x:v>End-to-End Journeys
UAT coordinator / workstream owners</x:v>
      </x:c>
      <x:c r="D81" s="4" t="n">
        <x:v>5</x:v>
      </x:c>
      <x:c r="E81" s="4" t="str">
        <x:v>P0</x:v>
      </x:c>
      <x:c r="F81" s="4" t="str">
        <x:v>Transfer and termination downstream</x:v>
      </x:c>
      <x:c r="G81" s="4" t="str">
        <x:v>/Employee/Employee/List; /HR/EmployeeLifecycle; /HR/AttendanceRoster; /HR/Payslips; /HR/Reports</x:v>
      </x:c>
      <x:c r="H81" s="4" t="str">
        <x:v>PEOPLE; POLICY; PAYREF; USERS</x:v>
      </x:c>
      <x:c r="I81" s="4" t="str">
        <x:v>Transfer EMP-MOVE and check source/destination access, roster, leave, payroll and reporting at effective dates. Separately terminate EMP-EXIT and repeat downstream eligibility/access checks.</x:v>
      </x:c>
      <x:c r="J81" s="4" t="str">
        <x:v>Every downstream behavior agrees with the approved transfer/termination matrix; history remains available to authorized HR. Each missing control is linked to an issue and owner.</x:v>
      </x:c>
      <x:c r="K81" s="4" t="str">
        <x:v>Before/after IDs, screenshots or request/response outcome, calculations/files where applicable. Identify every subscenario and role.</x:v>
      </x:c>
    </x:row>
  </x:sheetData>
  <x:pageMargins left="0.7" right="0.7" top="0.75" bottom="0.75" header="0.3" footer="0.3"/>
  <x:tableParts count="1">
    <x:tablePart xmlns:r="http://schemas.openxmlformats.org/officeDocument/2006/relationships" r:id="R4e54fecfa94b471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95" hidden="0" customWidth="1"/>
    <x:col min="5" max="5" width="20" hidden="0" customWidth="1"/>
    <x:col min="6" max="6" width="60" hidden="0" customWidth="1"/>
    <x:col min="7" max="7" width="30" hidden="0" customWidth="1"/>
    <x:col min="8" max="8" width="20" hidden="0" customWidth="1"/>
  </x:cols>
  <x:sheetData>
    <x:row r="2" ht="23" customHeight="1">
      <x:c r="A2" s="1" t="str">
        <x:v>HR Preparation</x:v>
      </x:c>
    </x:row>
    <x:row r="3">
      <x:c r="A3" t="str">
        <x:v>Ready requires actual IDs or an approved reference AND approver/date; placeholders are not approved baselines.</x:v>
      </x:c>
    </x:row>
    <x:row r="5" ht="34" customHeight="1">
      <x:c r="A5" s="8" t="str">
        <x:v>Fixture ID</x:v>
      </x:c>
      <x:c r="B5" s="8" t="str">
        <x:v>Requirement</x:v>
      </x:c>
      <x:c r="C5" s="8" t="str">
        <x:v>Owner</x:v>
      </x:c>
      <x:c r="D5" s="8" t="str">
        <x:v>Required content</x:v>
      </x:c>
      <x:c r="E5" s="8" t="str">
        <x:v>Status</x:v>
      </x:c>
      <x:c r="F5" s="8" t="str">
        <x:v>Actual IDs / approved reference / evidence</x:v>
      </x:c>
      <x:c r="G5" s="8" t="str">
        <x:v>Approved by / date</x:v>
      </x:c>
      <x:c r="H5" s="8" t="str">
        <x:v>Ready with evidence (1/0)</x:v>
      </x:c>
    </x:row>
    <x:row r="6" ht="100" customHeight="1">
      <x:c r="A6" s="4" t="str">
        <x:v>ENV</x:v>
      </x:c>
      <x:c r="B6" s="4" t="str">
        <x:v>Environment</x:v>
      </x:c>
      <x:c r="C6" s="4" t="str">
        <x:v>UAT coordinator</x:v>
      </x:c>
      <x:c r="D6" s="4" t="str">
        <x:v>Record UI/API URL, isolated database, release/commit, deployment time, browser/device and UAT cycle. Confirm backup/reset procedure.</x:v>
      </x:c>
      <x:c r="E6" s="9" t="str">
        <x:v>Not ready</x:v>
      </x:c>
      <x:c r="F6" s="9" t="str"/>
      <x:c r="G6" s="9" t="str"/>
      <x:c r="H6" s="4" t="n">
        <x:f>IF(AND(E6="Ready",F6&lt;&gt;"",G6&lt;&gt;""),1,0)</x:f>
        <x:v>0</x:v>
      </x:c>
    </x:row>
    <x:row r="7" ht="100" customHeight="1">
      <x:c r="A7" s="4" t="str">
        <x:v>ORG</x:v>
      </x:c>
      <x:c r="B7" s="4" t="str">
        <x:v>Organizations</x:v>
      </x:c>
      <x:c r="C7" s="4" t="str">
        <x:v>System administrator</x:v>
      </x:c>
      <x:c r="D7" s="4" t="str">
        <x:v>Create UAT-CO-A and UAT-CO-B; A-MAIN and A-SECOND branches; two departments and positions. Record real generated IDs. No production records.</x:v>
      </x:c>
      <x:c r="E7" s="9" t="str">
        <x:v>Not ready</x:v>
      </x:c>
      <x:c r="F7" s="9" t="str"/>
      <x:c r="G7" s="9" t="str"/>
      <x:c r="H7" s="4" t="n">
        <x:f>IF(AND(E7="Ready",F7&lt;&gt;"",G7&lt;&gt;""),1,0)</x:f>
        <x:v>0</x:v>
      </x:c>
    </x:row>
    <x:row r="8" ht="100" customHeight="1">
      <x:c r="A8" s="4" t="str">
        <x:v>USERS</x:v>
      </x:c>
      <x:c r="B8" s="4" t="str">
        <x:v>Accounts and access</x:v>
      </x:c>
      <x:c r="C8" s="4" t="str">
        <x:v>System administrator</x:v>
      </x:c>
      <x:c r="D8" s="4" t="str">
        <x:v>Create HR admin, specialists per area, approver, two branch-restricted managers, two employee accounts, read-only and no-HR-access users. Record action permissions and explicit scope; never passwords/tokens.</x:v>
      </x:c>
      <x:c r="E8" s="9" t="str">
        <x:v>Not ready</x:v>
      </x:c>
      <x:c r="F8" s="9" t="str"/>
      <x:c r="G8" s="9" t="str"/>
      <x:c r="H8" s="4" t="n">
        <x:f>IF(AND(E8="Ready",F8&lt;&gt;"",G8&lt;&gt;""),1,0)</x:f>
        <x:v>0</x:v>
      </x:c>
    </x:row>
    <x:row r="9" ht="100" customHeight="1">
      <x:c r="A9" s="4" t="str">
        <x:v>PEOPLE</x:v>
      </x:c>
      <x:c r="B9" s="4" t="str">
        <x:v>Employee fixtures</x:v>
      </x:c>
      <x:c r="C9" s="4" t="str">
        <x:v>HR operations manager</x:v>
      </x:c>
      <x:c r="D9" s="4" t="str">
        <x:v>Create EMP-NEW, EMP-REG, EMP-NIGHT, EMP-LOAN, EMP-MOVE and EMP-EXIT in A; another employee in B. Map each alias to actual ID, branch, department, position, dates and user. Separate disposable variants for destructive tests.</x:v>
      </x:c>
      <x:c r="E9" s="9" t="str">
        <x:v>Not ready</x:v>
      </x:c>
      <x:c r="F9" s="9" t="str"/>
      <x:c r="G9" s="9" t="str"/>
      <x:c r="H9" s="4" t="n">
        <x:f>IF(AND(E9="Ready",F9&lt;&gt;"",G9&lt;&gt;""),1,0)</x:f>
        <x:v>0</x:v>
      </x:c>
    </x:row>
    <x:row r="10" ht="100" customHeight="1">
      <x:c r="A10" s="4" t="str">
        <x:v>POLICY</x:v>
      </x:c>
      <x:c r="B10" s="4" t="str">
        <x:v>Approved business rules</x:v>
      </x:c>
      <x:c r="C10" s="4" t="str">
        <x:v>HR / Payroll owners</x:v>
      </x:c>
      <x:c r="D10" s="4" t="str">
        <x:v>Attach signed/versioned rules for approval authority, leave days/overlap/negative balance, location handling, effective dates, termination and transfer downstream treatment, training synchronization and payroll rounding. Identify production payroll workflow.</x:v>
      </x:c>
      <x:c r="E10" s="9" t="str">
        <x:v>Not ready</x:v>
      </x:c>
      <x:c r="F10" s="9" t="str"/>
      <x:c r="G10" s="9" t="str"/>
      <x:c r="H10" s="4" t="n">
        <x:f>IF(AND(E10="Ready",F10&lt;&gt;"",G10&lt;&gt;""),1,0)</x:f>
        <x:v>0</x:v>
      </x:c>
    </x:row>
    <x:row r="11" ht="100" customHeight="1">
      <x:c r="A11" s="4" t="str">
        <x:v>CALENDAR</x:v>
      </x:c>
      <x:c r="B11" s="4" t="str">
        <x:v>Working calendar</x:v>
      </x:c>
      <x:c r="C11" s="4" t="str">
        <x:v>Attendance / Leave owners</x:v>
      </x:c>
      <x:c r="D11" s="4" t="str">
        <x:v>Choose full payroll month; list workdays, weekends, holidays, day and overnight shift dates. Approve expected leave-day and overnight-date attribution. Use Asia/Riyadh display and record UTC equivalents.</x:v>
      </x:c>
      <x:c r="E11" s="9" t="str">
        <x:v>Not ready</x:v>
      </x:c>
      <x:c r="F11" s="9" t="str"/>
      <x:c r="G11" s="9" t="str"/>
      <x:c r="H11" s="4" t="n">
        <x:f>IF(AND(E11="Ready",F11&lt;&gt;"",G11&lt;&gt;""),1,0)</x:f>
        <x:v>0</x:v>
      </x:c>
    </x:row>
    <x:row r="12" ht="100" customHeight="1">
      <x:c r="A12" s="4" t="str">
        <x:v>TIMELINE</x:v>
      </x:c>
      <x:c r="B12" s="4" t="str">
        <x:v>Attendance references</x:v>
      </x:c>
      <x:c r="C12" s="4" t="str">
        <x:v>Attendance administrator</x:v>
      </x:c>
      <x:c r="D12" s="4" t="str">
        <x:v>Independent timestamp reference: normal day, break, overnight, late arrival, missing checkout and correction. Approve expected gross/break/net minutes per date plus approved leave inputs.</x:v>
      </x:c>
      <x:c r="E12" s="9" t="str">
        <x:v>Not ready</x:v>
      </x:c>
      <x:c r="F12" s="9" t="str"/>
      <x:c r="G12" s="9" t="str"/>
      <x:c r="H12" s="4" t="n">
        <x:f>IF(AND(E12="Ready",F12&lt;&gt;"",G12&lt;&gt;""),1,0)</x:f>
        <x:v>0</x:v>
      </x:c>
    </x:row>
    <x:row r="13" ht="100" customHeight="1">
      <x:c r="A13" s="4" t="str">
        <x:v>GEO</x:v>
      </x:c>
      <x:c r="B13" s="4" t="str">
        <x:v>Location cases</x:v>
      </x:c>
      <x:c r="C13" s="4" t="str">
        <x:v>Attendance administrator</x:v>
      </x:c>
      <x:c r="D13" s="4" t="str">
        <x:v>Record test geofence, approved in/out/boundary coordinates and accuracy; expected outcomes for denied/unavailable, low accuracy and mocked location. Use test device.</x:v>
      </x:c>
      <x:c r="E13" s="9" t="str">
        <x:v>Not ready</x:v>
      </x:c>
      <x:c r="F13" s="9" t="str"/>
      <x:c r="G13" s="9" t="str"/>
      <x:c r="H13" s="4" t="n">
        <x:f>IF(AND(E13="Ready",F13&lt;&gt;"",G13&lt;&gt;""),1,0)</x:f>
        <x:v>0</x:v>
      </x:c>
    </x:row>
    <x:row r="14" ht="100" customHeight="1">
      <x:c r="A14" s="4" t="str">
        <x:v>BIO</x:v>
      </x:c>
      <x:c r="B14" s="4" t="str">
        <x:v>Biometric import rows</x:v>
      </x:c>
      <x:c r="C14" s="4" t="str">
        <x:v>Attendance administrator</x:v>
      </x:c>
      <x:c r="D14" s="4" t="str">
        <x:v>Synthetic valid, duplicate, invalid-employee and invalid-time rows with expected sessions and counts. Record source timezone, device identifier and batch IDs.</x:v>
      </x:c>
      <x:c r="E14" s="9" t="str">
        <x:v>Not ready</x:v>
      </x:c>
      <x:c r="F14" s="9" t="str"/>
      <x:c r="G14" s="9" t="str"/>
      <x:c r="H14" s="4" t="n">
        <x:f>IF(AND(E14="Ready",F14&lt;&gt;"",G14&lt;&gt;""),1,0)</x:f>
        <x:v>0</x:v>
      </x:c>
    </x:row>
    <x:row r="15" ht="100" customHeight="1">
      <x:c r="A15" s="4" t="str">
        <x:v>FILES</x:v>
      </x:c>
      <x:c r="B15" s="4" t="str">
        <x:v>Synthetic attachments</x:v>
      </x:c>
      <x:c r="C15" s="4" t="str">
        <x:v>HR operations manager</x:v>
      </x:c>
      <x:c r="D15" s="4" t="str">
        <x:v>Prepare accessible synthetic document and certificate files plus missing/invalid references. Record permitted test attachment types and access expectations.</x:v>
      </x:c>
      <x:c r="E15" s="9" t="str">
        <x:v>Not ready</x:v>
      </x:c>
      <x:c r="F15" s="9" t="str"/>
      <x:c r="G15" s="9" t="str"/>
      <x:c r="H15" s="4" t="n">
        <x:f>IF(AND(E15="Ready",F15&lt;&gt;"",G15&lt;&gt;""),1,0)</x:f>
        <x:v>0</x:v>
      </x:c>
    </x:row>
    <x:row r="16" ht="100" customHeight="1">
      <x:c r="A16" s="4" t="str">
        <x:v>RECRUIT</x:v>
      </x:c>
      <x:c r="B16" s="4" t="str">
        <x:v>Hiring fixtures</x:v>
      </x:c>
      <x:c r="C16" s="4" t="str">
        <x:v>Recruitment lead</x:v>
      </x:c>
      <x:c r="D16" s="4" t="str">
        <x:v>One staffing plan, two requisitions, two applicants, scored interview, accepted and rejected offers. Approve score scale, transitions and manual employee-creation handoff.</x:v>
      </x:c>
      <x:c r="E16" s="9" t="str">
        <x:v>Not ready</x:v>
      </x:c>
      <x:c r="F16" s="9" t="str"/>
      <x:c r="G16" s="9" t="str"/>
      <x:c r="H16" s="4" t="n">
        <x:f>IF(AND(E16="Ready",F16&lt;&gt;"",G16&lt;&gt;""),1,0)</x:f>
        <x:v>0</x:v>
      </x:c>
    </x:row>
    <x:row r="17" ht="100" customHeight="1">
      <x:c r="A17" s="4" t="str">
        <x:v>LEAVEREF</x:v>
      </x:c>
      <x:c r="B17" s="4" t="str">
        <x:v>Leave reference ledger</x:v>
      </x:c>
      <x:c r="C17" s="4" t="str">
        <x:v>Leave administrator</x:v>
      </x:c>
      <x:c r="D17" s="4" t="str">
        <x:v>Independently approve per-employee/type/period opening, allocation, adjustment, approval debit, rejection zero, cancellation reversal and encashment debit. Record expected closing after each step.</x:v>
      </x:c>
      <x:c r="E17" s="9" t="str">
        <x:v>Not ready</x:v>
      </x:c>
      <x:c r="F17" s="9" t="str"/>
      <x:c r="G17" s="9" t="str"/>
      <x:c r="H17" s="4" t="n">
        <x:f>IF(AND(E17="Ready",F17&lt;&gt;"",G17&lt;&gt;""),1,0)</x:f>
        <x:v>0</x:v>
      </x:c>
    </x:row>
    <x:row r="18" ht="100" customHeight="1">
      <x:c r="A18" s="4" t="str">
        <x:v>PAYREF</x:v>
      </x:c>
      <x:c r="B18" s="4" t="str">
        <x:v>Payroll reference sheet</x:v>
      </x:c>
      <x:c r="C18" s="4" t="str">
        <x:v>Payroll manager</x:v>
      </x:c>
      <x:c r="D18" s="4" t="str">
        <x:v>Approve one full-period employee population; salary components, effective assignments, attendance quantities, prorating, loan installments, rates, gross/deductions/net and rounding tolerance. Separate legacy/entry fixtures plus a cross-workflow duplicate fixture. Do not copy application output as expected values.</x:v>
      </x:c>
      <x:c r="E18" s="9" t="str">
        <x:v>Not ready</x:v>
      </x:c>
      <x:c r="F18" s="9" t="str"/>
      <x:c r="G18" s="9" t="str"/>
      <x:c r="H18" s="4" t="n">
        <x:f>IF(AND(E18="Ready",F18&lt;&gt;"",G18&lt;&gt;""),1,0)</x:f>
        <x:v>0</x:v>
      </x:c>
    </x:row>
    <x:row r="19" ht="100" customHeight="1">
      <x:c r="A19" s="4" t="str">
        <x:v>ACCOUNTING</x:v>
      </x:c>
      <x:c r="B19" s="4" t="str">
        <x:v>Accounting reference</x:v>
      </x:c>
      <x:c r="C19" s="4" t="str">
        <x:v>Finance</x:v>
      </x:c>
      <x:c r="D19" s="4" t="str">
        <x:v>Approve per-company/branch journals/accounts and expected debits/credits and payroll reconciliation. Prepare a disposable missing-configuration fixture for failed-posting recovery.</x:v>
      </x:c>
      <x:c r="E19" s="9" t="str">
        <x:v>Not ready</x:v>
      </x:c>
      <x:c r="F19" s="9" t="str"/>
      <x:c r="G19" s="9" t="str"/>
      <x:c r="H19" s="4" t="n">
        <x:f>IF(AND(E19="Ready",F19&lt;&gt;"",G19&lt;&gt;""),1,0)</x:f>
        <x:v>0</x:v>
      </x:c>
    </x:row>
    <x:row r="20" ht="100" customHeight="1">
      <x:c r="A20" s="4" t="str">
        <x:v>WPS</x:v>
      </x:c>
      <x:c r="B20" s="4" t="str">
        <x:v>WPS output specification</x:v>
      </x:c>
      <x:c r="C20" s="4" t="str">
        <x:v>Payroll / Finance</x:v>
      </x:c>
      <x:c r="D20" s="4" t="str">
        <x:v>Supply approved recipient file format, sample/schema, eligible population, bank-data validation and expected payment totals. Export status alone is not evidence of a file.</x:v>
      </x:c>
      <x:c r="E20" s="9" t="str">
        <x:v>Not ready</x:v>
      </x:c>
      <x:c r="F20" s="9" t="str"/>
      <x:c r="G20" s="9" t="str"/>
      <x:c r="H20" s="4" t="n">
        <x:f>IF(AND(E20="Ready",F20&lt;&gt;"",G20&lt;&gt;""),1,0)</x:f>
        <x:v>0</x:v>
      </x:c>
    </x:row>
    <x:row r="21" ht="100" customHeight="1">
      <x:c r="A21" s="4" t="str">
        <x:v>EOS</x:v>
      </x:c>
      <x:c r="B21" s="4" t="str">
        <x:v>End-of-service reference</x:v>
      </x:c>
      <x:c r="C21" s="4" t="str">
        <x:v>Payroll / Finance</x:v>
      </x:c>
      <x:c r="D21" s="4" t="str">
        <x:v>Supply approved calculation method/rates, employee inputs, service dates, reference date and expected provision amounts. No legal-rate assumptions from code defaults.</x:v>
      </x:c>
      <x:c r="E21" s="9" t="str">
        <x:v>Not ready</x:v>
      </x:c>
      <x:c r="F21" s="9" t="str"/>
      <x:c r="G21" s="9" t="str"/>
      <x:c r="H21" s="4" t="n">
        <x:f>IF(AND(E21="Ready",F21&lt;&gt;"",G21&lt;&gt;""),1,0)</x:f>
        <x:v>0</x:v>
      </x:c>
    </x:row>
    <x:row r="22" ht="100" customHeight="1">
      <x:c r="A22" s="4" t="str">
        <x:v>PERF</x:v>
      </x:c>
      <x:c r="B22" s="4" t="str">
        <x:v>Appraisal reference</x:v>
      </x:c>
      <x:c r="C22" s="4" t="str">
        <x:v>Performance manager</x:v>
      </x:c>
      <x:c r="D22" s="4" t="str">
        <x:v>Approve cycle, two employees, goals/weights, competencies, score ranges, independently calculated components/total/rating, and allowed transition roles.</x:v>
      </x:c>
      <x:c r="E22" s="9" t="str">
        <x:v>Not ready</x:v>
      </x:c>
      <x:c r="F22" s="9" t="str"/>
      <x:c r="G22" s="9" t="str"/>
      <x:c r="H22" s="4" t="n">
        <x:f>IF(AND(E22="Ready",F22&lt;&gt;"",G22&lt;&gt;""),1,0)</x:f>
        <x:v>0</x:v>
      </x:c>
    </x:row>
    <x:row r="23" ht="100" customHeight="1">
      <x:c r="A23" s="4" t="str">
        <x:v>TRAIN</x:v>
      </x:c>
      <x:c r="B23" s="4" t="str">
        <x:v>Training fixtures</x:v>
      </x:c>
      <x:c r="C23" s="4" t="str">
        <x:v>Training coordinator</x:v>
      </x:c>
      <x:c r="D23" s="4" t="str">
        <x:v>Create program/event; two attendees with distinct attendance/results; approved completion/certificate rules and employee-history expectations.</x:v>
      </x:c>
      <x:c r="E23" s="9" t="str">
        <x:v>Not ready</x:v>
      </x:c>
      <x:c r="F23" s="9" t="str"/>
      <x:c r="G23" s="9" t="str"/>
      <x:c r="H23" s="4" t="n">
        <x:f>IF(AND(E23="Ready",F23&lt;&gt;"",G23&lt;&gt;""),1,0)</x:f>
        <x:v>0</x:v>
      </x:c>
    </x:row>
    <x:row r="24" ht="100" customHeight="1">
      <x:c r="A24" s="4" t="str">
        <x:v>REPORTREF</x:v>
      </x:c>
      <x:c r="B24" s="4" t="str">
        <x:v>Report controls</x:v>
      </x:c>
      <x:c r="C24" s="4" t="str">
        <x:v>Workstream owners</x:v>
      </x:c>
      <x:c r="D24" s="4" t="str">
        <x:v>Approve record-ID populations and counts/totals by employee, date, company and branch for every HR report; include no-match, boundary and pagination examples.</x:v>
      </x:c>
      <x:c r="E24" s="9" t="str">
        <x:v>Not ready</x:v>
      </x:c>
      <x:c r="F24" s="9" t="str"/>
      <x:c r="G24" s="9" t="str"/>
      <x:c r="H24" s="4" t="n">
        <x:f>IF(AND(E24="Ready",F24&lt;&gt;"",G24&lt;&gt;""),1,0)</x:f>
        <x:v>0</x:v>
      </x:c>
    </x:row>
  </x:sheetData>
  <x:dataValidations count="1">
    <x:dataValidation type="list" sqref="E6:E24">
      <x:formula1>"Not ready,In preparation,Ready"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e6ec56f723414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18" hidden="0" customWidth="1"/>
    <x:col min="5" max="5" width="70" hidden="0" customWidth="1"/>
    <x:col min="6" max="6" width="65" hidden="0" customWidth="1"/>
    <x:col min="7" max="7" width="40" hidden="0" customWidth="1"/>
    <x:col min="8" max="8" width="25" hidden="0" customWidth="1"/>
    <x:col min="9" max="9" width="24" hidden="0" customWidth="1"/>
    <x:col min="10" max="10" width="60" hidden="0" customWidth="1"/>
    <x:col min="11" max="11" width="18" hidden="0" customWidth="1"/>
    <x:col min="12" max="12" width="55" hidden="0" customWidth="1"/>
    <x:col min="13" max="13" width="20" hidden="0" customWidth="1"/>
  </x:cols>
  <x:sheetData>
    <x:row r="2" ht="23" customHeight="1">
      <x:c r="A2" s="1" t="str">
        <x:v>HR Issues</x:v>
      </x:c>
    </x:row>
    <x:row r="5" ht="34" customHeight="1">
      <x:c r="A5" s="8" t="str">
        <x:v>Issue ID</x:v>
      </x:c>
      <x:c r="B5" s="8" t="str">
        <x:v>Test IDs</x:v>
      </x:c>
      <x:c r="C5" s="8" t="str">
        <x:v>Type</x:v>
      </x:c>
      <x:c r="D5" s="8" t="str">
        <x:v>Severity</x:v>
      </x:c>
      <x:c r="E5" s="8" t="str">
        <x:v>Summary / reproduction</x:v>
      </x:c>
      <x:c r="F5" s="8" t="str">
        <x:v>Expected / actual</x:v>
      </x:c>
      <x:c r="G5" s="8" t="str">
        <x:v>Evidence</x:v>
      </x:c>
      <x:c r="H5" s="8" t="str">
        <x:v>Owner</x:v>
      </x:c>
      <x:c r="I5" s="8" t="str">
        <x:v>Status</x:v>
      </x:c>
      <x:c r="J5" s="8" t="str">
        <x:v>Workaround / acceptance</x:v>
      </x:c>
      <x:c r="K5" s="8" t="str">
        <x:v>Target date</x:v>
      </x:c>
      <x:c r="L5" s="8" t="str">
        <x:v>Retest evidence / build</x:v>
      </x:c>
      <x:c r="M5" s="8" t="str">
        <x:v>Minor still open (1/0)</x:v>
      </x:c>
    </x:row>
    <x:row r="6" ht="48" customHeight="1">
      <x:c r="A6" s="9" t="str"/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10" t="str"/>
      <x:c r="L6" s="9" t="str"/>
      <x:c r="M6" s="4" t="n">
        <x:f>IF(D6&lt;&gt;"Minor",0,IF(I6="Closed",0,IF(AND(I6="Accepted minor",H6&lt;&gt;"",J6&lt;&gt;"",ISNUMBER(K6)),0,1)))</x:f>
        <x:v>0</x:v>
      </x:c>
    </x:row>
    <x:row r="7" ht="48" customHeight="1">
      <x:c r="A7" s="9" t="str"/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10" t="str"/>
      <x:c r="L7" s="9" t="str"/>
      <x:c r="M7" s="4" t="n">
        <x:f>IF(D7&lt;&gt;"Minor",0,IF(I7="Closed",0,IF(AND(I7="Accepted minor",H7&lt;&gt;"",J7&lt;&gt;"",ISNUMBER(K7)),0,1)))</x:f>
        <x:v>0</x:v>
      </x:c>
    </x:row>
    <x:row r="8" ht="48" customHeight="1">
      <x:c r="A8" s="9" t="str"/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10" t="str"/>
      <x:c r="L8" s="9" t="str"/>
      <x:c r="M8" s="4" t="n">
        <x:f>IF(D8&lt;&gt;"Minor",0,IF(I8="Closed",0,IF(AND(I8="Accepted minor",H8&lt;&gt;"",J8&lt;&gt;"",ISNUMBER(K8)),0,1)))</x:f>
        <x:v>0</x:v>
      </x:c>
    </x:row>
    <x:row r="9" ht="48" customHeight="1">
      <x:c r="A9" s="9" t="str"/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10" t="str"/>
      <x:c r="L9" s="9" t="str"/>
      <x:c r="M9" s="4" t="n">
        <x:f>IF(D9&lt;&gt;"Minor",0,IF(I9="Closed",0,IF(AND(I9="Accepted minor",H9&lt;&gt;"",J9&lt;&gt;"",ISNUMBER(K9)),0,1)))</x:f>
        <x:v>0</x:v>
      </x:c>
    </x:row>
    <x:row r="10" ht="48" customHeight="1">
      <x:c r="A10" s="9" t="str"/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10" t="str"/>
      <x:c r="L10" s="9" t="str"/>
      <x:c r="M10" s="4" t="n">
        <x:f>IF(D10&lt;&gt;"Minor",0,IF(I10="Closed",0,IF(AND(I10="Accepted minor",H10&lt;&gt;"",J10&lt;&gt;"",ISNUMBER(K10)),0,1)))</x:f>
        <x:v>0</x:v>
      </x:c>
    </x:row>
    <x:row r="11" ht="48" customHeight="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10" t="str"/>
      <x:c r="L11" s="9" t="str"/>
      <x:c r="M11" s="4" t="n">
        <x:f>IF(D11&lt;&gt;"Minor",0,IF(I11="Closed",0,IF(AND(I11="Accepted minor",H11&lt;&gt;"",J11&lt;&gt;"",ISNUMBER(K11)),0,1)))</x:f>
        <x:v>0</x:v>
      </x:c>
    </x:row>
    <x:row r="12" ht="48" customHeight="1">
      <x:c r="A12" s="9" t="str"/>
      <x:c r="B12" s="9" t="str"/>
      <x:c r="C12" s="9" t="str"/>
      <x:c r="D12" s="9" t="str"/>
      <x:c r="E12" s="9" t="str"/>
      <x:c r="F12" s="9" t="str"/>
      <x:c r="G12" s="9" t="str"/>
      <x:c r="H12" s="9" t="str"/>
      <x:c r="I12" s="9" t="str"/>
      <x:c r="J12" s="9" t="str"/>
      <x:c r="K12" s="10" t="str"/>
      <x:c r="L12" s="9" t="str"/>
      <x:c r="M12" s="4" t="n">
        <x:f>IF(D12&lt;&gt;"Minor",0,IF(I12="Closed",0,IF(AND(I12="Accepted minor",H12&lt;&gt;"",J12&lt;&gt;"",ISNUMBER(K12)),0,1)))</x:f>
        <x:v>0</x:v>
      </x:c>
    </x:row>
    <x:row r="13" ht="48" customHeight="1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10" t="str"/>
      <x:c r="L13" s="9" t="str"/>
      <x:c r="M13" s="4" t="n">
        <x:f>IF(D13&lt;&gt;"Minor",0,IF(I13="Closed",0,IF(AND(I13="Accepted minor",H13&lt;&gt;"",J13&lt;&gt;"",ISNUMBER(K13)),0,1)))</x:f>
        <x:v>0</x:v>
      </x:c>
    </x:row>
    <x:row r="14" ht="48" customHeight="1">
      <x:c r="A14" s="9" t="str"/>
      <x:c r="B14" s="9" t="str"/>
      <x:c r="C14" s="9" t="str"/>
      <x:c r="D14" s="9" t="str"/>
      <x:c r="E14" s="9" t="str"/>
      <x:c r="F14" s="9" t="str"/>
      <x:c r="G14" s="9" t="str"/>
      <x:c r="H14" s="9" t="str"/>
      <x:c r="I14" s="9" t="str"/>
      <x:c r="J14" s="9" t="str"/>
      <x:c r="K14" s="10" t="str"/>
      <x:c r="L14" s="9" t="str"/>
      <x:c r="M14" s="4" t="n">
        <x:f>IF(D14&lt;&gt;"Minor",0,IF(I14="Closed",0,IF(AND(I14="Accepted minor",H14&lt;&gt;"",J14&lt;&gt;"",ISNUMBER(K14)),0,1)))</x:f>
        <x:v>0</x:v>
      </x:c>
    </x:row>
    <x:row r="15" ht="48" customHeight="1">
      <x:c r="A15" s="9" t="str"/>
      <x:c r="B15" s="9" t="str"/>
      <x:c r="C15" s="9" t="str"/>
      <x:c r="D15" s="9" t="str"/>
      <x:c r="E15" s="9" t="str"/>
      <x:c r="F15" s="9" t="str"/>
      <x:c r="G15" s="9" t="str"/>
      <x:c r="H15" s="9" t="str"/>
      <x:c r="I15" s="9" t="str"/>
      <x:c r="J15" s="9" t="str"/>
      <x:c r="K15" s="10" t="str"/>
      <x:c r="L15" s="9" t="str"/>
      <x:c r="M15" s="4" t="n">
        <x:f>IF(D15&lt;&gt;"Minor",0,IF(I15="Closed",0,IF(AND(I15="Accepted minor",H15&lt;&gt;"",J15&lt;&gt;"",ISNUMBER(K15)),0,1)))</x:f>
        <x:v>0</x:v>
      </x:c>
    </x:row>
    <x:row r="16" ht="48" customHeight="1">
      <x:c r="A16" s="9" t="str"/>
      <x:c r="B16" s="9" t="str"/>
      <x:c r="C16" s="9" t="str"/>
      <x:c r="D16" s="9" t="str"/>
      <x:c r="E16" s="9" t="str"/>
      <x:c r="F16" s="9" t="str"/>
      <x:c r="G16" s="9" t="str"/>
      <x:c r="H16" s="9" t="str"/>
      <x:c r="I16" s="9" t="str"/>
      <x:c r="J16" s="9" t="str"/>
      <x:c r="K16" s="10" t="str"/>
      <x:c r="L16" s="9" t="str"/>
      <x:c r="M16" s="4" t="n">
        <x:f>IF(D16&lt;&gt;"Minor",0,IF(I16="Closed",0,IF(AND(I16="Accepted minor",H16&lt;&gt;"",J16&lt;&gt;"",ISNUMBER(K16)),0,1)))</x:f>
        <x:v>0</x:v>
      </x:c>
    </x:row>
    <x:row r="17" ht="48" customHeight="1">
      <x:c r="A17" s="9" t="str"/>
      <x:c r="B17" s="9" t="str"/>
      <x:c r="C17" s="9" t="str"/>
      <x:c r="D17" s="9" t="str"/>
      <x:c r="E17" s="9" t="str"/>
      <x:c r="F17" s="9" t="str"/>
      <x:c r="G17" s="9" t="str"/>
      <x:c r="H17" s="9" t="str"/>
      <x:c r="I17" s="9" t="str"/>
      <x:c r="J17" s="9" t="str"/>
      <x:c r="K17" s="10" t="str"/>
      <x:c r="L17" s="9" t="str"/>
      <x:c r="M17" s="4" t="n">
        <x:f>IF(D17&lt;&gt;"Minor",0,IF(I17="Closed",0,IF(AND(I17="Accepted minor",H17&lt;&gt;"",J17&lt;&gt;"",ISNUMBER(K17)),0,1)))</x:f>
        <x:v>0</x:v>
      </x:c>
    </x:row>
    <x:row r="18" ht="48" customHeight="1">
      <x:c r="A18" s="9" t="str"/>
      <x:c r="B18" s="9" t="str"/>
      <x:c r="C18" s="9" t="str"/>
      <x:c r="D18" s="9" t="str"/>
      <x:c r="E18" s="9" t="str"/>
      <x:c r="F18" s="9" t="str"/>
      <x:c r="G18" s="9" t="str"/>
      <x:c r="H18" s="9" t="str"/>
      <x:c r="I18" s="9" t="str"/>
      <x:c r="J18" s="9" t="str"/>
      <x:c r="K18" s="10" t="str"/>
      <x:c r="L18" s="9" t="str"/>
      <x:c r="M18" s="4" t="n">
        <x:f>IF(D18&lt;&gt;"Minor",0,IF(I18="Closed",0,IF(AND(I18="Accepted minor",H18&lt;&gt;"",J18&lt;&gt;"",ISNUMBER(K18)),0,1)))</x:f>
        <x:v>0</x:v>
      </x:c>
    </x:row>
    <x:row r="19" ht="48" customHeight="1">
      <x:c r="A19" s="9" t="str"/>
      <x:c r="B19" s="9" t="str"/>
      <x:c r="C19" s="9" t="str"/>
      <x:c r="D19" s="9" t="str"/>
      <x:c r="E19" s="9" t="str"/>
      <x:c r="F19" s="9" t="str"/>
      <x:c r="G19" s="9" t="str"/>
      <x:c r="H19" s="9" t="str"/>
      <x:c r="I19" s="9" t="str"/>
      <x:c r="J19" s="9" t="str"/>
      <x:c r="K19" s="10" t="str"/>
      <x:c r="L19" s="9" t="str"/>
      <x:c r="M19" s="4" t="n">
        <x:f>IF(D19&lt;&gt;"Minor",0,IF(I19="Closed",0,IF(AND(I19="Accepted minor",H19&lt;&gt;"",J19&lt;&gt;"",ISNUMBER(K19)),0,1)))</x:f>
        <x:v>0</x:v>
      </x:c>
    </x:row>
    <x:row r="20" ht="48" customHeight="1">
      <x:c r="A20" s="9" t="str"/>
      <x:c r="B20" s="9" t="str"/>
      <x:c r="C20" s="9" t="str"/>
      <x:c r="D20" s="9" t="str"/>
      <x:c r="E20" s="9" t="str"/>
      <x:c r="F20" s="9" t="str"/>
      <x:c r="G20" s="9" t="str"/>
      <x:c r="H20" s="9" t="str"/>
      <x:c r="I20" s="9" t="str"/>
      <x:c r="J20" s="9" t="str"/>
      <x:c r="K20" s="10" t="str"/>
      <x:c r="L20" s="9" t="str"/>
      <x:c r="M20" s="4" t="n">
        <x:f>IF(D20&lt;&gt;"Minor",0,IF(I20="Closed",0,IF(AND(I20="Accepted minor",H20&lt;&gt;"",J20&lt;&gt;"",ISNUMBER(K20)),0,1)))</x:f>
        <x:v>0</x:v>
      </x:c>
    </x:row>
    <x:row r="21" ht="48" customHeight="1">
      <x:c r="A21" s="9" t="str"/>
      <x:c r="B21" s="9" t="str"/>
      <x:c r="C21" s="9" t="str"/>
      <x:c r="D21" s="9" t="str"/>
      <x:c r="E21" s="9" t="str"/>
      <x:c r="F21" s="9" t="str"/>
      <x:c r="G21" s="9" t="str"/>
      <x:c r="H21" s="9" t="str"/>
      <x:c r="I21" s="9" t="str"/>
      <x:c r="J21" s="9" t="str"/>
      <x:c r="K21" s="10" t="str"/>
      <x:c r="L21" s="9" t="str"/>
      <x:c r="M21" s="4" t="n">
        <x:f>IF(D21&lt;&gt;"Minor",0,IF(I21="Closed",0,IF(AND(I21="Accepted minor",H21&lt;&gt;"",J21&lt;&gt;"",ISNUMBER(K21)),0,1)))</x:f>
        <x:v>0</x:v>
      </x:c>
    </x:row>
    <x:row r="22" ht="48" customHeight="1">
      <x:c r="A22" s="9" t="str"/>
      <x:c r="B22" s="9" t="str"/>
      <x:c r="C22" s="9" t="str"/>
      <x:c r="D22" s="9" t="str"/>
      <x:c r="E22" s="9" t="str"/>
      <x:c r="F22" s="9" t="str"/>
      <x:c r="G22" s="9" t="str"/>
      <x:c r="H22" s="9" t="str"/>
      <x:c r="I22" s="9" t="str"/>
      <x:c r="J22" s="9" t="str"/>
      <x:c r="K22" s="10" t="str"/>
      <x:c r="L22" s="9" t="str"/>
      <x:c r="M22" s="4" t="n">
        <x:f>IF(D22&lt;&gt;"Minor",0,IF(I22="Closed",0,IF(AND(I22="Accepted minor",H22&lt;&gt;"",J22&lt;&gt;"",ISNUMBER(K22)),0,1)))</x:f>
        <x:v>0</x:v>
      </x:c>
    </x:row>
    <x:row r="23" ht="48" customHeight="1">
      <x:c r="A23" s="9" t="str"/>
      <x:c r="B23" s="9" t="str"/>
      <x:c r="C23" s="9" t="str"/>
      <x:c r="D23" s="9" t="str"/>
      <x:c r="E23" s="9" t="str"/>
      <x:c r="F23" s="9" t="str"/>
      <x:c r="G23" s="9" t="str"/>
      <x:c r="H23" s="9" t="str"/>
      <x:c r="I23" s="9" t="str"/>
      <x:c r="J23" s="9" t="str"/>
      <x:c r="K23" s="10" t="str"/>
      <x:c r="L23" s="9" t="str"/>
      <x:c r="M23" s="4" t="n">
        <x:f>IF(D23&lt;&gt;"Minor",0,IF(I23="Closed",0,IF(AND(I23="Accepted minor",H23&lt;&gt;"",J23&lt;&gt;"",ISNUMBER(K23)),0,1)))</x:f>
        <x:v>0</x:v>
      </x:c>
    </x:row>
    <x:row r="24" ht="48" customHeight="1">
      <x:c r="A24" s="9" t="str"/>
      <x:c r="B24" s="9" t="str"/>
      <x:c r="C24" s="9" t="str"/>
      <x:c r="D24" s="9" t="str"/>
      <x:c r="E24" s="9" t="str"/>
      <x:c r="F24" s="9" t="str"/>
      <x:c r="G24" s="9" t="str"/>
      <x:c r="H24" s="9" t="str"/>
      <x:c r="I24" s="9" t="str"/>
      <x:c r="J24" s="9" t="str"/>
      <x:c r="K24" s="10" t="str"/>
      <x:c r="L24" s="9" t="str"/>
      <x:c r="M24" s="4" t="n">
        <x:f>IF(D24&lt;&gt;"Minor",0,IF(I24="Closed",0,IF(AND(I24="Accepted minor",H24&lt;&gt;"",J24&lt;&gt;"",ISNUMBER(K24)),0,1)))</x:f>
        <x:v>0</x:v>
      </x:c>
    </x:row>
    <x:row r="25" ht="48" customHeight="1">
      <x:c r="A25" s="9" t="str"/>
      <x:c r="B25" s="9" t="str"/>
      <x:c r="C25" s="9" t="str"/>
      <x:c r="D25" s="9" t="str"/>
      <x:c r="E25" s="9" t="str"/>
      <x:c r="F25" s="9" t="str"/>
      <x:c r="G25" s="9" t="str"/>
      <x:c r="H25" s="9" t="str"/>
      <x:c r="I25" s="9" t="str"/>
      <x:c r="J25" s="9" t="str"/>
      <x:c r="K25" s="10" t="str"/>
      <x:c r="L25" s="9" t="str"/>
      <x:c r="M25" s="4" t="n">
        <x:f>IF(D25&lt;&gt;"Minor",0,IF(I25="Closed",0,IF(AND(I25="Accepted minor",H25&lt;&gt;"",J25&lt;&gt;"",ISNUMBER(K25)),0,1)))</x:f>
        <x:v>0</x:v>
      </x:c>
    </x:row>
    <x:row r="26" ht="48" customHeight="1">
      <x:c r="A26" s="9" t="str"/>
      <x:c r="B26" s="9" t="str"/>
      <x:c r="C26" s="9" t="str"/>
      <x:c r="D26" s="9" t="str"/>
      <x:c r="E26" s="9" t="str"/>
      <x:c r="F26" s="9" t="str"/>
      <x:c r="G26" s="9" t="str"/>
      <x:c r="H26" s="9" t="str"/>
      <x:c r="I26" s="9" t="str"/>
      <x:c r="J26" s="9" t="str"/>
      <x:c r="K26" s="10" t="str"/>
      <x:c r="L26" s="9" t="str"/>
      <x:c r="M26" s="4" t="n">
        <x:f>IF(D26&lt;&gt;"Minor",0,IF(I26="Closed",0,IF(AND(I26="Accepted minor",H26&lt;&gt;"",J26&lt;&gt;"",ISNUMBER(K26)),0,1)))</x:f>
        <x:v>0</x:v>
      </x:c>
    </x:row>
    <x:row r="27" ht="48" customHeight="1">
      <x:c r="A27" s="9" t="str"/>
      <x:c r="B27" s="9" t="str"/>
      <x:c r="C27" s="9" t="str"/>
      <x:c r="D27" s="9" t="str"/>
      <x:c r="E27" s="9" t="str"/>
      <x:c r="F27" s="9" t="str"/>
      <x:c r="G27" s="9" t="str"/>
      <x:c r="H27" s="9" t="str"/>
      <x:c r="I27" s="9" t="str"/>
      <x:c r="J27" s="9" t="str"/>
      <x:c r="K27" s="10" t="str"/>
      <x:c r="L27" s="9" t="str"/>
      <x:c r="M27" s="4" t="n">
        <x:f>IF(D27&lt;&gt;"Minor",0,IF(I27="Closed",0,IF(AND(I27="Accepted minor",H27&lt;&gt;"",J27&lt;&gt;"",ISNUMBER(K27)),0,1)))</x:f>
        <x:v>0</x:v>
      </x:c>
    </x:row>
    <x:row r="28" ht="48" customHeight="1">
      <x:c r="A28" s="9" t="str"/>
      <x:c r="B28" s="9" t="str"/>
      <x:c r="C28" s="9" t="str"/>
      <x:c r="D28" s="9" t="str"/>
      <x:c r="E28" s="9" t="str"/>
      <x:c r="F28" s="9" t="str"/>
      <x:c r="G28" s="9" t="str"/>
      <x:c r="H28" s="9" t="str"/>
      <x:c r="I28" s="9" t="str"/>
      <x:c r="J28" s="9" t="str"/>
      <x:c r="K28" s="10" t="str"/>
      <x:c r="L28" s="9" t="str"/>
      <x:c r="M28" s="4" t="n">
        <x:f>IF(D28&lt;&gt;"Minor",0,IF(I28="Closed",0,IF(AND(I28="Accepted minor",H28&lt;&gt;"",J28&lt;&gt;"",ISNUMBER(K28)),0,1)))</x:f>
        <x:v>0</x:v>
      </x:c>
    </x:row>
    <x:row r="29" ht="48" customHeight="1">
      <x:c r="A29" s="9" t="str"/>
      <x:c r="B29" s="9" t="str"/>
      <x:c r="C29" s="9" t="str"/>
      <x:c r="D29" s="9" t="str"/>
      <x:c r="E29" s="9" t="str"/>
      <x:c r="F29" s="9" t="str"/>
      <x:c r="G29" s="9" t="str"/>
      <x:c r="H29" s="9" t="str"/>
      <x:c r="I29" s="9" t="str"/>
      <x:c r="J29" s="9" t="str"/>
      <x:c r="K29" s="10" t="str"/>
      <x:c r="L29" s="9" t="str"/>
      <x:c r="M29" s="4" t="n">
        <x:f>IF(D29&lt;&gt;"Minor",0,IF(I29="Closed",0,IF(AND(I29="Accepted minor",H29&lt;&gt;"",J29&lt;&gt;"",ISNUMBER(K29)),0,1)))</x:f>
        <x:v>0</x:v>
      </x:c>
    </x:row>
    <x:row r="30" ht="48" customHeight="1">
      <x:c r="A30" s="9" t="str"/>
      <x:c r="B30" s="9" t="str"/>
      <x:c r="C30" s="9" t="str"/>
      <x:c r="D30" s="9" t="str"/>
      <x:c r="E30" s="9" t="str"/>
      <x:c r="F30" s="9" t="str"/>
      <x:c r="G30" s="9" t="str"/>
      <x:c r="H30" s="9" t="str"/>
      <x:c r="I30" s="9" t="str"/>
      <x:c r="J30" s="9" t="str"/>
      <x:c r="K30" s="10" t="str"/>
      <x:c r="L30" s="9" t="str"/>
      <x:c r="M30" s="4" t="n">
        <x:f>IF(D30&lt;&gt;"Minor",0,IF(I30="Closed",0,IF(AND(I30="Accepted minor",H30&lt;&gt;"",J30&lt;&gt;"",ISNUMBER(K30)),0,1)))</x:f>
        <x:v>0</x:v>
      </x:c>
    </x:row>
    <x:row r="31" ht="48" customHeight="1">
      <x:c r="A31" s="9" t="str"/>
      <x:c r="B31" s="9" t="str"/>
      <x:c r="C31" s="9" t="str"/>
      <x:c r="D31" s="9" t="str"/>
      <x:c r="E31" s="9" t="str"/>
      <x:c r="F31" s="9" t="str"/>
      <x:c r="G31" s="9" t="str"/>
      <x:c r="H31" s="9" t="str"/>
      <x:c r="I31" s="9" t="str"/>
      <x:c r="J31" s="9" t="str"/>
      <x:c r="K31" s="10" t="str"/>
      <x:c r="L31" s="9" t="str"/>
      <x:c r="M31" s="4" t="n">
        <x:f>IF(D31&lt;&gt;"Minor",0,IF(I31="Closed",0,IF(AND(I31="Accepted minor",H31&lt;&gt;"",J31&lt;&gt;"",ISNUMBER(K31)),0,1)))</x:f>
        <x:v>0</x:v>
      </x:c>
    </x:row>
    <x:row r="32" ht="48" customHeight="1">
      <x:c r="A32" s="9" t="str"/>
      <x:c r="B32" s="9" t="str"/>
      <x:c r="C32" s="9" t="str"/>
      <x:c r="D32" s="9" t="str"/>
      <x:c r="E32" s="9" t="str"/>
      <x:c r="F32" s="9" t="str"/>
      <x:c r="G32" s="9" t="str"/>
      <x:c r="H32" s="9" t="str"/>
      <x:c r="I32" s="9" t="str"/>
      <x:c r="J32" s="9" t="str"/>
      <x:c r="K32" s="10" t="str"/>
      <x:c r="L32" s="9" t="str"/>
      <x:c r="M32" s="4" t="n">
        <x:f>IF(D32&lt;&gt;"Minor",0,IF(I32="Closed",0,IF(AND(I32="Accepted minor",H32&lt;&gt;"",J32&lt;&gt;"",ISNUMBER(K32)),0,1)))</x:f>
        <x:v>0</x:v>
      </x:c>
    </x:row>
    <x:row r="33" ht="48" customHeight="1">
      <x:c r="A33" s="9" t="str"/>
      <x:c r="B33" s="9" t="str"/>
      <x:c r="C33" s="9" t="str"/>
      <x:c r="D33" s="9" t="str"/>
      <x:c r="E33" s="9" t="str"/>
      <x:c r="F33" s="9" t="str"/>
      <x:c r="G33" s="9" t="str"/>
      <x:c r="H33" s="9" t="str"/>
      <x:c r="I33" s="9" t="str"/>
      <x:c r="J33" s="9" t="str"/>
      <x:c r="K33" s="10" t="str"/>
      <x:c r="L33" s="9" t="str"/>
      <x:c r="M33" s="4" t="n">
        <x:f>IF(D33&lt;&gt;"Minor",0,IF(I33="Closed",0,IF(AND(I33="Accepted minor",H33&lt;&gt;"",J33&lt;&gt;"",ISNUMBER(K33)),0,1)))</x:f>
        <x:v>0</x:v>
      </x:c>
    </x:row>
    <x:row r="34" ht="48" customHeight="1">
      <x:c r="A34" s="9" t="str"/>
      <x:c r="B34" s="9" t="str"/>
      <x:c r="C34" s="9" t="str"/>
      <x:c r="D34" s="9" t="str"/>
      <x:c r="E34" s="9" t="str"/>
      <x:c r="F34" s="9" t="str"/>
      <x:c r="G34" s="9" t="str"/>
      <x:c r="H34" s="9" t="str"/>
      <x:c r="I34" s="9" t="str"/>
      <x:c r="J34" s="9" t="str"/>
      <x:c r="K34" s="10" t="str"/>
      <x:c r="L34" s="9" t="str"/>
      <x:c r="M34" s="4" t="n">
        <x:f>IF(D34&lt;&gt;"Minor",0,IF(I34="Closed",0,IF(AND(I34="Accepted minor",H34&lt;&gt;"",J34&lt;&gt;"",ISNUMBER(K34)),0,1)))</x:f>
        <x:v>0</x:v>
      </x:c>
    </x:row>
    <x:row r="35" ht="48" customHeight="1">
      <x:c r="A35" s="9" t="str"/>
      <x:c r="B35" s="9" t="str"/>
      <x:c r="C35" s="9" t="str"/>
      <x:c r="D35" s="9" t="str"/>
      <x:c r="E35" s="9" t="str"/>
      <x:c r="F35" s="9" t="str"/>
      <x:c r="G35" s="9" t="str"/>
      <x:c r="H35" s="9" t="str"/>
      <x:c r="I35" s="9" t="str"/>
      <x:c r="J35" s="9" t="str"/>
      <x:c r="K35" s="10" t="str"/>
      <x:c r="L35" s="9" t="str"/>
      <x:c r="M35" s="4" t="n">
        <x:f>IF(D35&lt;&gt;"Minor",0,IF(I35="Closed",0,IF(AND(I35="Accepted minor",H35&lt;&gt;"",J35&lt;&gt;"",ISNUMBER(K35)),0,1)))</x:f>
        <x:v>0</x:v>
      </x:c>
    </x:row>
    <x:row r="36" ht="48" customHeight="1">
      <x:c r="A36" s="9" t="str"/>
      <x:c r="B36" s="9" t="str"/>
      <x:c r="C36" s="9" t="str"/>
      <x:c r="D36" s="9" t="str"/>
      <x:c r="E36" s="9" t="str"/>
      <x:c r="F36" s="9" t="str"/>
      <x:c r="G36" s="9" t="str"/>
      <x:c r="H36" s="9" t="str"/>
      <x:c r="I36" s="9" t="str"/>
      <x:c r="J36" s="9" t="str"/>
      <x:c r="K36" s="10" t="str"/>
      <x:c r="L36" s="9" t="str"/>
      <x:c r="M36" s="4" t="n">
        <x:f>IF(D36&lt;&gt;"Minor",0,IF(I36="Closed",0,IF(AND(I36="Accepted minor",H36&lt;&gt;"",J36&lt;&gt;"",ISNUMBER(K36)),0,1)))</x:f>
        <x:v>0</x:v>
      </x:c>
    </x:row>
    <x:row r="37" ht="48" customHeight="1">
      <x:c r="A37" s="9" t="str"/>
      <x:c r="B37" s="9" t="str"/>
      <x:c r="C37" s="9" t="str"/>
      <x:c r="D37" s="9" t="str"/>
      <x:c r="E37" s="9" t="str"/>
      <x:c r="F37" s="9" t="str"/>
      <x:c r="G37" s="9" t="str"/>
      <x:c r="H37" s="9" t="str"/>
      <x:c r="I37" s="9" t="str"/>
      <x:c r="J37" s="9" t="str"/>
      <x:c r="K37" s="10" t="str"/>
      <x:c r="L37" s="9" t="str"/>
      <x:c r="M37" s="4" t="n">
        <x:f>IF(D37&lt;&gt;"Minor",0,IF(I37="Closed",0,IF(AND(I37="Accepted minor",H37&lt;&gt;"",J37&lt;&gt;"",ISNUMBER(K37)),0,1)))</x:f>
        <x:v>0</x:v>
      </x:c>
    </x:row>
    <x:row r="38" ht="48" customHeight="1">
      <x:c r="A38" s="9" t="str"/>
      <x:c r="B38" s="9" t="str"/>
      <x:c r="C38" s="9" t="str"/>
      <x:c r="D38" s="9" t="str"/>
      <x:c r="E38" s="9" t="str"/>
      <x:c r="F38" s="9" t="str"/>
      <x:c r="G38" s="9" t="str"/>
      <x:c r="H38" s="9" t="str"/>
      <x:c r="I38" s="9" t="str"/>
      <x:c r="J38" s="9" t="str"/>
      <x:c r="K38" s="10" t="str"/>
      <x:c r="L38" s="9" t="str"/>
      <x:c r="M38" s="4" t="n">
        <x:f>IF(D38&lt;&gt;"Minor",0,IF(I38="Closed",0,IF(AND(I38="Accepted minor",H38&lt;&gt;"",J38&lt;&gt;"",ISNUMBER(K38)),0,1)))</x:f>
        <x:v>0</x:v>
      </x:c>
    </x:row>
    <x:row r="39" ht="48" customHeight="1">
      <x:c r="A39" s="9" t="str"/>
      <x:c r="B39" s="9" t="str"/>
      <x:c r="C39" s="9" t="str"/>
      <x:c r="D39" s="9" t="str"/>
      <x:c r="E39" s="9" t="str"/>
      <x:c r="F39" s="9" t="str"/>
      <x:c r="G39" s="9" t="str"/>
      <x:c r="H39" s="9" t="str"/>
      <x:c r="I39" s="9" t="str"/>
      <x:c r="J39" s="9" t="str"/>
      <x:c r="K39" s="10" t="str"/>
      <x:c r="L39" s="9" t="str"/>
      <x:c r="M39" s="4" t="n">
        <x:f>IF(D39&lt;&gt;"Minor",0,IF(I39="Closed",0,IF(AND(I39="Accepted minor",H39&lt;&gt;"",J39&lt;&gt;"",ISNUMBER(K39)),0,1)))</x:f>
        <x:v>0</x:v>
      </x:c>
    </x:row>
    <x:row r="40" ht="48" customHeight="1">
      <x:c r="A40" s="9" t="str"/>
      <x:c r="B40" s="9" t="str"/>
      <x:c r="C40" s="9" t="str"/>
      <x:c r="D40" s="9" t="str"/>
      <x:c r="E40" s="9" t="str"/>
      <x:c r="F40" s="9" t="str"/>
      <x:c r="G40" s="9" t="str"/>
      <x:c r="H40" s="9" t="str"/>
      <x:c r="I40" s="9" t="str"/>
      <x:c r="J40" s="9" t="str"/>
      <x:c r="K40" s="10" t="str"/>
      <x:c r="L40" s="9" t="str"/>
      <x:c r="M40" s="4" t="n">
        <x:f>IF(D40&lt;&gt;"Minor",0,IF(I40="Closed",0,IF(AND(I40="Accepted minor",H40&lt;&gt;"",J40&lt;&gt;"",ISNUMBER(K40)),0,1)))</x:f>
        <x:v>0</x:v>
      </x:c>
    </x:row>
    <x:row r="41" ht="48" customHeight="1">
      <x:c r="A41" s="9" t="str"/>
      <x:c r="B41" s="9" t="str"/>
      <x:c r="C41" s="9" t="str"/>
      <x:c r="D41" s="9" t="str"/>
      <x:c r="E41" s="9" t="str"/>
      <x:c r="F41" s="9" t="str"/>
      <x:c r="G41" s="9" t="str"/>
      <x:c r="H41" s="9" t="str"/>
      <x:c r="I41" s="9" t="str"/>
      <x:c r="J41" s="9" t="str"/>
      <x:c r="K41" s="10" t="str"/>
      <x:c r="L41" s="9" t="str"/>
      <x:c r="M41" s="4" t="n">
        <x:f>IF(D41&lt;&gt;"Minor",0,IF(I41="Closed",0,IF(AND(I41="Accepted minor",H41&lt;&gt;"",J41&lt;&gt;"",ISNUMBER(K41)),0,1)))</x:f>
        <x:v>0</x:v>
      </x:c>
    </x:row>
    <x:row r="42" ht="48" customHeight="1">
      <x:c r="A42" s="9" t="str"/>
      <x:c r="B42" s="9" t="str"/>
      <x:c r="C42" s="9" t="str"/>
      <x:c r="D42" s="9" t="str"/>
      <x:c r="E42" s="9" t="str"/>
      <x:c r="F42" s="9" t="str"/>
      <x:c r="G42" s="9" t="str"/>
      <x:c r="H42" s="9" t="str"/>
      <x:c r="I42" s="9" t="str"/>
      <x:c r="J42" s="9" t="str"/>
      <x:c r="K42" s="10" t="str"/>
      <x:c r="L42" s="9" t="str"/>
      <x:c r="M42" s="4" t="n">
        <x:f>IF(D42&lt;&gt;"Minor",0,IF(I42="Closed",0,IF(AND(I42="Accepted minor",H42&lt;&gt;"",J42&lt;&gt;"",ISNUMBER(K42)),0,1)))</x:f>
        <x:v>0</x:v>
      </x:c>
    </x:row>
    <x:row r="43" ht="48" customHeight="1">
      <x:c r="A43" s="9" t="str"/>
      <x:c r="B43" s="9" t="str"/>
      <x:c r="C43" s="9" t="str"/>
      <x:c r="D43" s="9" t="str"/>
      <x:c r="E43" s="9" t="str"/>
      <x:c r="F43" s="9" t="str"/>
      <x:c r="G43" s="9" t="str"/>
      <x:c r="H43" s="9" t="str"/>
      <x:c r="I43" s="9" t="str"/>
      <x:c r="J43" s="9" t="str"/>
      <x:c r="K43" s="10" t="str"/>
      <x:c r="L43" s="9" t="str"/>
      <x:c r="M43" s="4" t="n">
        <x:f>IF(D43&lt;&gt;"Minor",0,IF(I43="Closed",0,IF(AND(I43="Accepted minor",H43&lt;&gt;"",J43&lt;&gt;"",ISNUMBER(K43)),0,1)))</x:f>
        <x:v>0</x:v>
      </x:c>
    </x:row>
    <x:row r="44" ht="48" customHeight="1">
      <x:c r="A44" s="9" t="str"/>
      <x:c r="B44" s="9" t="str"/>
      <x:c r="C44" s="9" t="str"/>
      <x:c r="D44" s="9" t="str"/>
      <x:c r="E44" s="9" t="str"/>
      <x:c r="F44" s="9" t="str"/>
      <x:c r="G44" s="9" t="str"/>
      <x:c r="H44" s="9" t="str"/>
      <x:c r="I44" s="9" t="str"/>
      <x:c r="J44" s="9" t="str"/>
      <x:c r="K44" s="10" t="str"/>
      <x:c r="L44" s="9" t="str"/>
      <x:c r="M44" s="4" t="n">
        <x:f>IF(D44&lt;&gt;"Minor",0,IF(I44="Closed",0,IF(AND(I44="Accepted minor",H44&lt;&gt;"",J44&lt;&gt;"",ISNUMBER(K44)),0,1)))</x:f>
        <x:v>0</x:v>
      </x:c>
    </x:row>
    <x:row r="45" ht="48" customHeight="1">
      <x:c r="A45" s="9" t="str"/>
      <x:c r="B45" s="9" t="str"/>
      <x:c r="C45" s="9" t="str"/>
      <x:c r="D45" s="9" t="str"/>
      <x:c r="E45" s="9" t="str"/>
      <x:c r="F45" s="9" t="str"/>
      <x:c r="G45" s="9" t="str"/>
      <x:c r="H45" s="9" t="str"/>
      <x:c r="I45" s="9" t="str"/>
      <x:c r="J45" s="9" t="str"/>
      <x:c r="K45" s="10" t="str"/>
      <x:c r="L45" s="9" t="str"/>
      <x:c r="M45" s="4" t="n">
        <x:f>IF(D45&lt;&gt;"Minor",0,IF(I45="Closed",0,IF(AND(I45="Accepted minor",H45&lt;&gt;"",J45&lt;&gt;"",ISNUMBER(K45)),0,1)))</x:f>
        <x:v>0</x:v>
      </x:c>
    </x:row>
  </x:sheetData>
  <x:dataValidations count="3">
    <x:dataValidation type="list" sqref="C6:C45">
      <x:formula1>"Defect,Capability gap,Environment,Policy / baseline"</x:formula1>
    </x:dataValidation>
    <x:dataValidation type="list" sqref="D6:D45">
      <x:formula1>"Critical,Major,Minor"</x:formula1>
    </x:dataValidation>
    <x:dataValidation type="list" sqref="I6:I45">
      <x:formula1>"Open,In progress,Ready for retest,Closed,Accepted minor"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64a2ec858142c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32" hidden="0" customWidth="1"/>
    <x:col min="3" max="3" width="85" hidden="0" customWidth="1"/>
    <x:col min="4" max="4" width="22" hidden="0" customWidth="1"/>
    <x:col min="5" max="5" width="26" hidden="0" customWidth="1"/>
    <x:col min="6" max="6" width="18" hidden="0" customWidth="1"/>
    <x:col min="7" max="7" width="55" hidden="0" customWidth="1"/>
    <x:col min="8" max="8" width="50" hidden="0" customWidth="1"/>
    <x:col min="9" max="9" width="20" hidden="0" customWidth="1"/>
  </x:cols>
  <x:sheetData>
    <x:row r="2" ht="23" customHeight="1">
      <x:c r="A2" s="1" t="str">
        <x:v>HR Signoff</x:v>
      </x:c>
    </x:row>
    <x:row r="5" ht="34" customHeight="1">
      <x:c r="A5" s="8" t="str">
        <x:v>Owner role</x:v>
      </x:c>
      <x:c r="B5" s="8" t="str">
        <x:v>Area</x:v>
      </x:c>
      <x:c r="C5" s="8" t="str">
        <x:v>Review requirement</x:v>
      </x:c>
      <x:c r="D5" s="8" t="str">
        <x:v>Decision</x:v>
      </x:c>
      <x:c r="E5" s="8" t="str">
        <x:v>Named approver</x:v>
      </x:c>
      <x:c r="F5" s="8" t="str">
        <x:v>Date</x:v>
      </x:c>
      <x:c r="G5" s="8" t="str">
        <x:v>Evidence / accepted minor issue IDs</x:v>
      </x:c>
      <x:c r="H5" s="8" t="str">
        <x:v>Comments</x:v>
      </x:c>
      <x:c r="I5" s="8" t="str">
        <x:v>Approved with evidence (1/0)</x:v>
      </x:c>
    </x:row>
    <x:row r="6" ht="85" customHeight="1">
      <x:c r="A6" s="4" t="str">
        <x:v>HR operations manager</x:v>
      </x:c>
      <x:c r="B6" s="4" t="str">
        <x:v>Personnel / lifecycle</x:v>
      </x:c>
      <x:c r="C6" s="4" t="str">
        <x:v>All HR cases, E2E-01 and E2E-04; historical and downstream behavior</x:v>
      </x:c>
      <x:c r="D6" s="9" t="str">
        <x:v>Pending</x:v>
      </x:c>
      <x:c r="E6" s="9" t="str"/>
      <x:c r="F6" s="10" t="str"/>
      <x:c r="G6" s="9" t="str"/>
      <x:c r="H6" s="9" t="str"/>
      <x:c r="I6" s="4" t="n">
        <x:f>IF(AND(D6="Approved",E6&lt;&gt;"",ISNUMBER(F6),G6&lt;&gt;""),1,0)</x:f>
        <x:v>0</x:v>
      </x:c>
    </x:row>
    <x:row r="7" ht="85" customHeight="1">
      <x:c r="A7" s="4" t="str">
        <x:v>Recruitment lead</x:v>
      </x:c>
      <x:c r="B7" s="4" t="str">
        <x:v>Recruitment</x:v>
      </x:c>
      <x:c r="C7" s="4" t="str">
        <x:v>All REC cases and E2E-01; hiring handoff</x:v>
      </x:c>
      <x:c r="D7" s="9" t="str">
        <x:v>Pending</x:v>
      </x:c>
      <x:c r="E7" s="9" t="str"/>
      <x:c r="F7" s="10" t="str"/>
      <x:c r="G7" s="9" t="str"/>
      <x:c r="H7" s="9" t="str"/>
      <x:c r="I7" s="4" t="n">
        <x:f>IF(AND(D7="Approved",E7&lt;&gt;"",ISNUMBER(F7),G7&lt;&gt;""),1,0)</x:f>
        <x:v>0</x:v>
      </x:c>
    </x:row>
    <x:row r="8" ht="85" customHeight="1">
      <x:c r="A8" s="4" t="str">
        <x:v>Attendance administrator</x:v>
      </x:c>
      <x:c r="B8" s="4" t="str">
        <x:v>Attendance</x:v>
      </x:c>
      <x:c r="C8" s="4" t="str">
        <x:v>All ATT cases and E2E-02; minutes and work-entry reconciliation</x:v>
      </x:c>
      <x:c r="D8" s="9" t="str">
        <x:v>Pending</x:v>
      </x:c>
      <x:c r="E8" s="9" t="str"/>
      <x:c r="F8" s="10" t="str"/>
      <x:c r="G8" s="9" t="str"/>
      <x:c r="H8" s="9" t="str"/>
      <x:c r="I8" s="4" t="n">
        <x:f>IF(AND(D8="Approved",E8&lt;&gt;"",ISNUMBER(F8),G8&lt;&gt;""),1,0)</x:f>
        <x:v>0</x:v>
      </x:c>
    </x:row>
    <x:row r="9" ht="85" customHeight="1">
      <x:c r="A9" s="4" t="str">
        <x:v>Leave administrator</x:v>
      </x:c>
      <x:c r="B9" s="4" t="str">
        <x:v>Leave</x:v>
      </x:c>
      <x:c r="C9" s="4" t="str">
        <x:v>All LEV cases and E2E-03; ledger reconciliation</x:v>
      </x:c>
      <x:c r="D9" s="9" t="str">
        <x:v>Pending</x:v>
      </x:c>
      <x:c r="E9" s="9" t="str"/>
      <x:c r="F9" s="10" t="str"/>
      <x:c r="G9" s="9" t="str"/>
      <x:c r="H9" s="9" t="str"/>
      <x:c r="I9" s="4" t="n">
        <x:f>IF(AND(D9="Approved",E9&lt;&gt;"",ISNUMBER(F9),G9&lt;&gt;""),1,0)</x:f>
        <x:v>0</x:v>
      </x:c>
    </x:row>
    <x:row r="10" ht="85" customHeight="1">
      <x:c r="A10" s="4" t="str">
        <x:v>Payroll manager</x:v>
      </x:c>
      <x:c r="B10" s="4" t="str">
        <x:v>Payroll</x:v>
      </x:c>
      <x:c r="C10" s="4" t="str">
        <x:v>All PAY cases, E2E-02 / E2E-04; approved reference amounts and production workflow</x:v>
      </x:c>
      <x:c r="D10" s="9" t="str">
        <x:v>Pending</x:v>
      </x:c>
      <x:c r="E10" s="9" t="str"/>
      <x:c r="F10" s="10" t="str"/>
      <x:c r="G10" s="9" t="str"/>
      <x:c r="H10" s="9" t="str"/>
      <x:c r="I10" s="4" t="n">
        <x:f>IF(AND(D10="Approved",E10&lt;&gt;"",ISNUMBER(F10),G10&lt;&gt;""),1,0)</x:f>
        <x:v>0</x:v>
      </x:c>
    </x:row>
    <x:row r="11" ht="85" customHeight="1">
      <x:c r="A11" s="4" t="str">
        <x:v>Finance</x:v>
      </x:c>
      <x:c r="B11" s="4" t="str">
        <x:v>Payroll accounting / output</x:v>
      </x:c>
      <x:c r="C11" s="4" t="str">
        <x:v>PAY-05 / PAY-06; journals, WPS usable file and provision references</x:v>
      </x:c>
      <x:c r="D11" s="9" t="str">
        <x:v>Pending</x:v>
      </x:c>
      <x:c r="E11" s="9" t="str"/>
      <x:c r="F11" s="10" t="str"/>
      <x:c r="G11" s="9" t="str"/>
      <x:c r="H11" s="9" t="str"/>
      <x:c r="I11" s="4" t="n">
        <x:f>IF(AND(D11="Approved",E11&lt;&gt;"",ISNUMBER(F11),G11&lt;&gt;""),1,0)</x:f>
        <x:v>0</x:v>
      </x:c>
    </x:row>
    <x:row r="12" ht="85" customHeight="1">
      <x:c r="A12" s="4" t="str">
        <x:v>Performance manager</x:v>
      </x:c>
      <x:c r="B12" s="4" t="str">
        <x:v>Performance</x:v>
      </x:c>
      <x:c r="C12" s="4" t="str">
        <x:v>All PER cases; independent score calculation</x:v>
      </x:c>
      <x:c r="D12" s="9" t="str">
        <x:v>Pending</x:v>
      </x:c>
      <x:c r="E12" s="9" t="str"/>
      <x:c r="F12" s="10" t="str"/>
      <x:c r="G12" s="9" t="str"/>
      <x:c r="H12" s="9" t="str"/>
      <x:c r="I12" s="4" t="n">
        <x:f>IF(AND(D12="Approved",E12&lt;&gt;"",ISNUMBER(F12),G12&lt;&gt;""),1,0)</x:f>
        <x:v>0</x:v>
      </x:c>
    </x:row>
    <x:row r="13" ht="85" customHeight="1">
      <x:c r="A13" s="4" t="str">
        <x:v>Training coordinator</x:v>
      </x:c>
      <x:c r="B13" s="4" t="str">
        <x:v>Training</x:v>
      </x:c>
      <x:c r="C13" s="4" t="str">
        <x:v>All TRN cases; employee history and certificates</x:v>
      </x:c>
      <x:c r="D13" s="9" t="str">
        <x:v>Pending</x:v>
      </x:c>
      <x:c r="E13" s="9" t="str"/>
      <x:c r="F13" s="10" t="str"/>
      <x:c r="G13" s="9" t="str"/>
      <x:c r="H13" s="9" t="str"/>
      <x:c r="I13" s="4" t="n">
        <x:f>IF(AND(D13="Approved",E13&lt;&gt;"",ISNUMBER(F13),G13&lt;&gt;""),1,0)</x:f>
        <x:v>0</x:v>
      </x:c>
    </x:row>
    <x:row r="14" ht="85" customHeight="1">
      <x:c r="A14" s="4" t="str">
        <x:v>System administrator</x:v>
      </x:c>
      <x:c r="B14" s="4" t="str">
        <x:v>Access controls</x:v>
      </x:c>
      <x:c r="C14" s="4" t="str">
        <x:v>CTL-02 for every HR workstream and transfer source/destination</x:v>
      </x:c>
      <x:c r="D14" s="9" t="str">
        <x:v>Pending</x:v>
      </x:c>
      <x:c r="E14" s="9" t="str"/>
      <x:c r="F14" s="10" t="str"/>
      <x:c r="G14" s="9" t="str"/>
      <x:c r="H14" s="9" t="str"/>
      <x:c r="I14" s="4" t="n">
        <x:f>IF(AND(D14="Approved",E14&lt;&gt;"",ISNUMBER(F14),G14&lt;&gt;""),1,0)</x:f>
        <x:v>0</x:v>
      </x:c>
    </x:row>
    <x:row r="15" ht="85" customHeight="1">
      <x:c r="A15" s="4" t="str">
        <x:v>HR manager</x:v>
      </x:c>
      <x:c r="B15" s="4" t="str">
        <x:v>Operational release acceptance</x:v>
      </x:c>
      <x:c r="C15" s="4" t="str">
        <x:v>All critical cases passed; all other cases passed or owner-dispositioned; no unresolved critical/major issues; accepted minor issues have workaround, owner and date</x:v>
      </x:c>
      <x:c r="D15" s="9" t="str">
        <x:v>Pending</x:v>
      </x:c>
      <x:c r="E15" s="9" t="str"/>
      <x:c r="F15" s="10" t="str"/>
      <x:c r="G15" s="9" t="str"/>
      <x:c r="H15" s="9" t="str"/>
      <x:c r="I15" s="4" t="n">
        <x:f>IF(AND(D15="Approved",E15&lt;&gt;"",ISNUMBER(F15),G15&lt;&gt;""),1,0)</x:f>
        <x:v>0</x:v>
      </x:c>
    </x:row>
  </x:sheetData>
  <x:dataValidations count="1">
    <x:dataValidation type="list" sqref="D6:D15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81f44732f24b0b"/>
  </x:tableParts>
</x:worksheet>
</file>