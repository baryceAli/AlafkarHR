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cd6d03f57c4fdb" /></Relationships>
</file>

<file path=xl/workbook.xml><?xml version="1.0" encoding="utf-8"?>
<x:workbook xmlns:r="http://schemas.openxmlformats.org/officeDocument/2006/relationships" xmlns:x="http://schemas.openxmlformats.org/spreadsheetml/2006/main">
  <x:sheets>
    <x:sheet name="نظرة عامة" sheetId="1" r:id="R959bc81fb76b4f20"/>
    <x:sheet name="النتائج" sheetId="2" r:id="Ra4044863863749c8"/>
    <x:sheet name="حالات الاختبار" sheetId="3" r:id="Rd3a81533d25d49c4"/>
    <x:sheet name="التحضير" sheetId="4" r:id="Rf106cffd10a54ee7"/>
    <x:sheet name="الملاحظات" sheetId="5" r:id="R4be9a48ba2874c2d"/>
    <x:sheet name="الاعتماد" sheetId="6" r:id="R67cd19fc789743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243746"/>
      <x:name val="Arial"/>
    </x:font>
    <x:font>
      <x:sz val="11"/>
      <x:color rgb="FF243746"/>
      <x:name val="Arial"/>
    </x:font>
    <x:font>
      <x:b/>
      <x:sz val="11"/>
      <x:color rgb="FFFFFFFF"/>
      <x:name val="Arial"/>
    </x:font>
    <x:font>
      <x:b/>
      <x:sz val="16"/>
      <x:color rgb="FF243746"/>
      <x:name val="Arial"/>
    </x:font>
    <x:font>
      <x:b/>
      <x:sz val="11"/>
      <x:color rgb="FF243746"/>
      <x:name val="Arial"/>
    </x:font>
    <x:font>
      <x:sz val="11"/>
      <x:name val="Arial"/>
    </x:font>
  </x:fonts>
  <x:fills count="5">
    <x:fill>
      <x:patternFill patternType="none"/>
    </x:fill>
    <x:fill>
      <x:patternFill patternType="gray125"/>
    </x:fill>
    <x:fill>
      <x:patternFill patternType="solid">
        <x:fgColor rgb="FF243746"/>
      </x:patternFill>
    </x:fill>
    <x:fill>
      <x:patternFill patternType="solid">
        <x:fgColor rgb="FFFFF2CC"/>
      </x:patternFill>
    </x:fill>
    <x:fill>
      <x:patternFill patternType="solid">
        <x:fgColor rgb="FFE7EEF4"/>
      </x:patternFill>
    </x:fill>
  </x:fills>
  <x:borders count="1">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0" fontId="4"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2"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2" fillId="0" borderId="0" xfId="0" applyNumberFormat="1" applyFont="1" applyFill="1" applyBorder="1" applyAlignment="1">
      <x:alignment horizontal="right"/>
    </x:xf>
    <x:xf numFmtId="0" fontId="0" fillId="0" borderId="0" xfId="0" applyNumberFormat="1" applyFont="1" applyFill="1" applyBorder="1" applyAlignment="1">
      <x:alignment horizontal="right"/>
    </x:xf>
    <x:xf numFmtId="0" fontId="4" fillId="0" borderId="0" xfId="0" applyNumberFormat="1" applyFont="1" applyFill="1" applyBorder="1" applyAlignment="1">
      <x:alignment horizontal="right"/>
    </x:xf>
    <x:xf numFmtId="0" fontId="3" fillId="2" borderId="0" xfId="0" applyNumberFormat="1" applyFont="1" applyFill="1" applyBorder="1" applyAlignment="1">
      <x:alignment horizontal="right" wrapText="1"/>
    </x:xf>
    <x:xf numFmtId="0" fontId="2" fillId="0" borderId="0" xfId="0" applyNumberFormat="1" applyFont="1" applyFill="1" applyBorder="1" applyAlignment="1">
      <x:alignment horizontal="right" wrapText="1"/>
    </x:xf>
    <x:xf numFmtId="0" fontId="5" fillId="4" borderId="0" xfId="0" applyNumberFormat="1" applyFont="1" applyFill="1" applyBorder="1" applyAlignment="1">
      <x:alignment horizontal="right" wrapText="1"/>
    </x:xf>
    <x:xf numFmtId="0" fontId="5" fillId="4" borderId="0" xfId="0" applyNumberFormat="1" applyFont="1" applyFill="1" applyBorder="1" applyAlignment="1">
      <x:alignment horizontal="right"/>
    </x:xf>
    <x:xf numFmtId="0" fontId="6" fillId="0" borderId="0" xfId="0" applyNumberFormat="1" applyFont="1" applyFill="1" applyBorder="1" applyAlignment="1">
      <x:alignment horizontal="right"/>
    </x:xf>
    <x:xf numFmtId="0" fontId="1" fillId="0" borderId="0" xfId="0" applyNumberFormat="1" applyFont="1" applyFill="1" applyBorder="1" applyAlignment="1">
      <x:alignment horizontal="right"/>
    </x:xf>
    <x:xf numFmtId="0" fontId="3" fillId="2" borderId="0" xfId="0" applyNumberFormat="1" applyFont="1" applyFill="1" applyBorder="1" applyAlignment="1">
      <x:alignment horizontal="right" vertical="center" wrapText="1"/>
    </x:xf>
    <x:xf numFmtId="0" fontId="2" fillId="0" borderId="0" xfId="0" applyNumberFormat="1" applyFont="1" applyFill="1" applyBorder="1" applyAlignment="1">
      <x:alignment horizontal="right" vertical="top" wrapText="1"/>
    </x:xf>
    <x:xf numFmtId="0" fontId="2" fillId="3" borderId="0" xfId="0" applyNumberFormat="1" applyFont="1" applyFill="1" applyBorder="1" applyAlignment="1">
      <x:alignment horizontal="right" vertical="top" wrapText="1"/>
    </x:xf>
    <x:xf numFmtId="200" fontId="2" fillId="3" borderId="0" xfId="0" applyNumberFormat="1" applyFont="1" applyFill="1" applyBorder="1" applyAlignment="1">
      <x:alignment horizontal="right" vertical="top" wrapText="1"/>
    </x:xf>
    <x:xf numFmtId="0" fontId="6" fillId="0" borderId="0" xfId="0" applyNumberFormat="1" applyFont="1" applyFill="1" applyBorder="1" applyAlignment="1">
      <x:alignment horizontal="right" wrapText="1"/>
    </x:xf>
  </x:cellXfs>
  <x:cellStyles count="1">
    <x:cellStyle name="Normal" xfId="0"/>
  </x:cellStyles>
  <x:dxfs count="11">
    <x:dxf>
      <x:fill>
        <x:patternFill>
          <x:bgColor rgb="FFFCE4D6"/>
        </x:patternFill>
      </x:fill>
    </x:dxf>
    <x:dxf>
      <x:fill>
        <x:patternFill>
          <x:bgColor rgb="FFFFF2CC"/>
        </x:patternFill>
      </x:fill>
    </x:dxf>
    <x:dxf>
      <x:fill>
        <x:patternFill>
          <x:bgColor rgb="FFE7E6E6"/>
        </x:patternFill>
      </x:fill>
    </x:dxf>
    <x:dxf>
      <x:fill>
        <x:patternFill>
          <x:bgColor rgb="FFE2EFDA"/>
        </x:patternFill>
      </x:fill>
    </x:dxf>
    <x:dxf>
      <x:font>
        <x:color rgb="FF9C0006"/>
      </x:font>
      <x:fill>
        <x:patternFill>
          <x:bgColor rgb="FFFCE4D6"/>
        </x:patternFill>
      </x:fill>
    </x:dxf>
    <x:dxf>
      <x:fill>
        <x:patternFill>
          <x:bgColor rgb="FFFFF2CC"/>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EFDA"/>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17b47b4c754f93" /><Relationship Type="http://schemas.openxmlformats.org/officeDocument/2006/relationships/theme" Target="/xl/theme/theme1.xml" Id="R9db5481216fe4854" /><Relationship Type="http://schemas.openxmlformats.org/officeDocument/2006/relationships/sharedStrings" Target="/xl/sharedStrings.xml" Id="R77cb791b2278412b" /><Relationship Type="http://schemas.openxmlformats.org/officeDocument/2006/relationships/worksheet" Target="/xl/worksheets/sheet1.xml" Id="R959bc81fb76b4f20" /><Relationship Type="http://schemas.openxmlformats.org/officeDocument/2006/relationships/worksheet" Target="/xl/worksheets/sheet2.xml" Id="Ra4044863863749c8" /><Relationship Type="http://schemas.openxmlformats.org/officeDocument/2006/relationships/worksheet" Target="/xl/worksheets/sheet3.xml" Id="Rd3a81533d25d49c4" /><Relationship Type="http://schemas.openxmlformats.org/officeDocument/2006/relationships/worksheet" Target="/xl/worksheets/sheet4.xml" Id="Rf106cffd10a54ee7" /><Relationship Type="http://schemas.openxmlformats.org/officeDocument/2006/relationships/worksheet" Target="/xl/worksheets/sheet5.xml" Id="R4be9a48ba2874c2d" /><Relationship Type="http://schemas.openxmlformats.org/officeDocument/2006/relationships/worksheet" Target="/xl/worksheets/sheet6.xml" Id="R67cd19fc7897431c" /></Relationships>
</file>

<file path=xl/tables/table1.xml><?xml version="1.0" encoding="utf-8"?>
<x:table xmlns:x="http://schemas.openxmlformats.org/spreadsheetml/2006/main" id="1" name="HR_Results" displayName="HR_Results" ref="A5:O81" headerRowCount="1" totalsRowCount="0" totalsRowShown="0">
  <x:tableColumns count="15">
    <x:tableColumn id="1" name="معرّف الاختبار"/>
    <x:tableColumn id="2" name="مجال العمل"/>
    <x:tableColumn id="3" name="الأولوية"/>
    <x:tableColumn id="4" name="المختبِر المكلّف"/>
    <x:tableColumn id="5" name="دور الاختبار / نطاق الصلاحية"/>
    <x:tableColumn id="6" name="الحالة"/>
    <x:tableColumn id="7" name="النتيجة الفعلية"/>
    <x:tableColumn id="8" name="موقع الأدلة / المعرّفات"/>
    <x:tableColumn id="9" name="معرّفات الملاحظات / الفجوات"/>
    <x:tableColumn id="10" name="نتيجة إعادة الاختبار / الأدلة"/>
    <x:tableColumn id="11" name="تاريخ التنفيذ"/>
    <x:tableColumn id="12" name="الإصدار / دورة الاختبار"/>
    <x:tableColumn id="13" name="مسؤول عدم الانطباق / السبب"/>
    <x:tableColumn id="14" name="المراجع"/>
    <x:tableColumn id="15" name="التحقق من الأدلة"/>
  </x:tableColumns>
  <x:tableStyleInfo name="TableStyleMedium2" showFirstColumn="0" showLastColumn="0" showRowStripes="1" showColumnStripes="0"/>
</x:table>
</file>

<file path=xl/tables/table2.xml><?xml version="1.0" encoding="utf-8"?>
<x:table xmlns:x="http://schemas.openxmlformats.org/spreadsheetml/2006/main" id="2" name="HR_Test_Cases" displayName="HR_Test_Cases" ref="A5:K81" headerRowCount="1" totalsRowCount="0" totalsRowShown="0">
  <x:tableColumns count="11">
    <x:tableColumn id="1" name="معرّف الاختبار"/>
    <x:tableColumn id="2" name="حالة الاستخدام الرئيسية"/>
    <x:tableColumn id="3" name="مجال العمل / المسؤول"/>
    <x:tableColumn id="4" name="المرحلة"/>
    <x:tableColumn id="5" name="الأولوية"/>
    <x:tableColumn id="6" name="السيناريو"/>
    <x:tableColumn id="7" name="مسارات الوصول"/>
    <x:tableColumn id="8" name="معرّفات بيانات الاختبار المطلوبة"/>
    <x:tableColumn id="9" name="الخطوات — جميع السيناريوهات المدرجة"/>
    <x:tableColumn id="10" name="معايير القبول"/>
    <x:tableColumn id="11" name="الأدلة المطلوبة"/>
  </x:tableColumns>
  <x:tableStyleInfo name="TableStyleMedium2" showFirstColumn="0" showLastColumn="0" showRowStripes="1" showColumnStripes="0"/>
</x:table>
</file>

<file path=xl/tables/table3.xml><?xml version="1.0" encoding="utf-8"?>
<x:table xmlns:x="http://schemas.openxmlformats.org/spreadsheetml/2006/main" id="3" name="HR_Preparation" displayName="HR_Preparation" ref="A5:H24" headerRowCount="1" totalsRowCount="0" totalsRowShown="0">
  <x:tableColumns count="8">
    <x:tableColumn id="1" name="معرّف بيانات الاختبار"/>
    <x:tableColumn id="2" name="المتطلب"/>
    <x:tableColumn id="3" name="المسؤول"/>
    <x:tableColumn id="4" name="المحتوى المطلوب"/>
    <x:tableColumn id="5" name="الحالة"/>
    <x:tableColumn id="6" name="المعرّفات الفعلية / المرجع المعتمد / الأدلة"/>
    <x:tableColumn id="7" name="المعتمِد / تاريخ الاعتماد"/>
    <x:tableColumn id="8" name="جاهز مع الأدلة (1/0)"/>
  </x:tableColumns>
  <x:tableStyleInfo name="TableStyleMedium2" showFirstColumn="0" showLastColumn="0" showRowStripes="1" showColumnStripes="0"/>
</x:table>
</file>

<file path=xl/tables/table4.xml><?xml version="1.0" encoding="utf-8"?>
<x:table xmlns:x="http://schemas.openxmlformats.org/spreadsheetml/2006/main" id="4" name="HR_Issues" displayName="HR_Issues" ref="A5:M45" headerRowCount="1" totalsRowCount="0" totalsRowShown="0">
  <x:tableColumns count="13">
    <x:tableColumn id="1" name="معرّف الملاحظة"/>
    <x:tableColumn id="2" name="معرّفات الاختبارات"/>
    <x:tableColumn id="3" name="النوع"/>
    <x:tableColumn id="4" name="درجة الخطورة"/>
    <x:tableColumn id="5" name="الملخص / خطوات إعادة المشكلة"/>
    <x:tableColumn id="6" name="المتوقع / الفعلي"/>
    <x:tableColumn id="7" name="الأدلة"/>
    <x:tableColumn id="8" name="المسؤول"/>
    <x:tableColumn id="9" name="الحالة"/>
    <x:tableColumn id="10" name="الحل البديل / القبول"/>
    <x:tableColumn id="11" name="التاريخ المستهدف"/>
    <x:tableColumn id="12" name="أدلة إعادة الاختبار / الإصدار"/>
    <x:tableColumn id="13" name="ملاحظات طفيفة لم تُعالج (1/0)"/>
  </x:tableColumns>
  <x:tableStyleInfo name="TableStyleMedium2" showFirstColumn="0" showLastColumn="0" showRowStripes="1" showColumnStripes="0"/>
</x:table>
</file>

<file path=xl/tables/table5.xml><?xml version="1.0" encoding="utf-8"?>
<x:table xmlns:x="http://schemas.openxmlformats.org/spreadsheetml/2006/main" id="5" name="HR_Signoff" displayName="HR_Signoff" ref="A5:I15" headerRowCount="1" totalsRowCount="0" totalsRowShown="0">
  <x:tableColumns count="9">
    <x:tableColumn id="1" name="صفة المسؤول"/>
    <x:tableColumn id="2" name="المجال"/>
    <x:tableColumn id="3" name="متطلب المراجعة"/>
    <x:tableColumn id="4" name="القرار"/>
    <x:tableColumn id="5" name="اسم المعتمِد"/>
    <x:tableColumn id="6" name="التاريخ"/>
    <x:tableColumn id="7" name="الأدلة / معرّفات الملاحظات الطفيفة المقبولة"/>
    <x:tableColumn id="8" name="التعليقات"/>
    <x:tableColumn id="9" name="معتمد مع الأدلة (1/0)"/>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a57477ea3f46c8" /></Relationships>
</file>

<file path=xl/worksheets/_rels/sheet3.xml.rels>&#65279;<?xml version="1.0" encoding="utf-8"?><Relationships xmlns="http://schemas.openxmlformats.org/package/2006/relationships"><Relationship Type="http://schemas.openxmlformats.org/officeDocument/2006/relationships/table" Target="/xl/tables/table2.xml" Id="Rf7a6764184d84fa7" /></Relationships>
</file>

<file path=xl/worksheets/_rels/sheet4.xml.rels>&#65279;<?xml version="1.0" encoding="utf-8"?><Relationships xmlns="http://schemas.openxmlformats.org/package/2006/relationships"><Relationship Type="http://schemas.openxmlformats.org/officeDocument/2006/relationships/table" Target="/xl/tables/table3.xml" Id="Re733cd2f97874010" /></Relationships>
</file>

<file path=xl/worksheets/_rels/sheet5.xml.rels>&#65279;<?xml version="1.0" encoding="utf-8"?><Relationships xmlns="http://schemas.openxmlformats.org/package/2006/relationships"><Relationship Type="http://schemas.openxmlformats.org/officeDocument/2006/relationships/table" Target="/xl/tables/table4.xml" Id="R8033ef3c0c384b7d" /></Relationships>
</file>

<file path=xl/worksheets/_rels/sheet6.xml.rels>&#65279;<?xml version="1.0" encoding="utf-8"?><Relationships xmlns="http://schemas.openxmlformats.org/package/2006/relationships"><Relationship Type="http://schemas.openxmlformats.org/officeDocument/2006/relationships/table" Target="/xl/tables/table5.xml" Id="R6052b0e870244359" /></Relationships>
</file>

<file path=xl/worksheets/sheet1.xml><?xml version="1.0" encoding="utf-8"?>
<x:worksheet xmlns:x="http://schemas.openxmlformats.org/spreadsheetml/2006/main">
  <x:sheetViews>
    <x:sheetView showGridLines="0" workbookViewId="0" rightToLeft="1"/>
  </x:sheetViews>
  <x:sheetFormatPr defaultRowHeight="15"/>
  <x:cols>
    <x:col min="1" max="1" width="4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x:c r="A1" s="18"/>
      <x:c r="B1" s="18"/>
      <x:c r="C1" s="18"/>
      <x:c r="D1" s="18"/>
      <x:c r="E1" s="18"/>
      <x:c r="F1" s="18"/>
      <x:c r="G1" s="18"/>
      <x:c r="H1" s="18"/>
      <x:c r="I1" s="18"/>
      <x:c r="J1" s="25"/>
      <x:c r="K1" s="25"/>
      <x:c r="L1" s="25"/>
      <x:c r="M1" s="25"/>
      <x:c r="N1" s="25"/>
      <x:c r="O1" s="25"/>
    </x:row>
    <x:row r="2" ht="30" customHeight="1">
      <x:c r="A2" s="20" t="str">
        <x:v>الأفكار ERP | اختبار قبول المستخدم للموارد البشرية</x:v>
      </x:c>
      <x:c r="B2" s="18"/>
      <x:c r="C2" s="18"/>
      <x:c r="D2" s="18"/>
      <x:c r="E2" s="18"/>
      <x:c r="F2" s="18"/>
      <x:c r="G2" s="18"/>
      <x:c r="H2" s="18"/>
      <x:c r="I2" s="18"/>
      <x:c r="J2" s="25"/>
      <x:c r="K2" s="25"/>
      <x:c r="L2" s="25"/>
      <x:c r="M2" s="25"/>
      <x:c r="N2" s="25"/>
      <x:c r="O2" s="25"/>
    </x:row>
    <x:row r="3">
      <x:c r="A3" s="18"/>
      <x:c r="B3" s="18"/>
      <x:c r="C3" s="18"/>
      <x:c r="D3" s="18"/>
      <x:c r="E3" s="18"/>
      <x:c r="F3" s="18"/>
      <x:c r="G3" s="18"/>
      <x:c r="H3" s="18"/>
      <x:c r="I3" s="18"/>
      <x:c r="J3" s="25"/>
      <x:c r="K3" s="25"/>
      <x:c r="L3" s="25"/>
      <x:c r="M3" s="25"/>
      <x:c r="N3" s="25"/>
      <x:c r="O3" s="25"/>
    </x:row>
    <x:row r="4" ht="30" customHeight="1">
      <x:c r="A4" s="18" t="str">
        <x:v>76 سجل اختبار • 36 حالة استخدام • 4 مسارات متكاملة • الحالة الأولية: لم يُنفذ</x:v>
      </x:c>
      <x:c r="B4" s="18"/>
      <x:c r="C4" s="18"/>
      <x:c r="D4" s="18"/>
      <x:c r="E4" s="18"/>
      <x:c r="F4" s="18"/>
      <x:c r="G4" s="18"/>
      <x:c r="H4" s="18"/>
      <x:c r="I4" s="18"/>
      <x:c r="J4" s="25"/>
      <x:c r="K4" s="25"/>
      <x:c r="L4" s="25"/>
      <x:c r="M4" s="25"/>
      <x:c r="N4" s="25"/>
      <x:c r="O4" s="25"/>
    </x:row>
    <x:row r="5">
      <x:c r="A5" s="18"/>
      <x:c r="B5" s="18"/>
      <x:c r="C5" s="18"/>
      <x:c r="D5" s="18"/>
      <x:c r="E5" s="18"/>
      <x:c r="F5" s="18"/>
      <x:c r="G5" s="18"/>
      <x:c r="H5" s="18"/>
      <x:c r="I5" s="18"/>
      <x:c r="J5" s="25"/>
      <x:c r="K5" s="25"/>
      <x:c r="L5" s="25"/>
      <x:c r="M5" s="25"/>
      <x:c r="N5" s="25"/>
      <x:c r="O5" s="25"/>
    </x:row>
    <x:row r="6" ht="48" customHeight="1">
      <x:c r="A6" s="21" t="str">
        <x:v>مجال العمل</x:v>
      </x:c>
      <x:c r="B6" s="21" t="str">
        <x:v>الإجمالي</x:v>
      </x:c>
      <x:c r="C6" s="21" t="str">
        <x:v>لم يُنفذ</x:v>
      </x:c>
      <x:c r="D6" s="21" t="str">
        <x:v>ناجح</x:v>
      </x:c>
      <x:c r="E6" s="21" t="str">
        <x:v>فاشل</x:v>
      </x:c>
      <x:c r="F6" s="21" t="str">
        <x:v>متعذر التنفيذ</x:v>
      </x:c>
      <x:c r="G6" s="21" t="str">
        <x:v>غير منطبق</x:v>
      </x:c>
      <x:c r="H6" s="21" t="str">
        <x:v>اختبارات P0 غير الناجحة</x:v>
      </x:c>
      <x:c r="I6" s="21" t="str">
        <x:v>موثق / مراجع</x:v>
      </x:c>
      <x:c r="J6" s="25"/>
      <x:c r="K6" s="25"/>
      <x:c r="L6" s="25"/>
      <x:c r="M6" s="25"/>
      <x:c r="N6" s="25"/>
      <x:c r="O6" s="25"/>
    </x:row>
    <x:row r="7" ht="42" customHeight="1">
      <x:c r="A7" s="22" t="str">
        <x:v>شؤون الموظفين وإدارة بياناتهم</x:v>
      </x:c>
      <x:c r="B7" s="18" t="n">
        <x:f>COUNTIFS('النتائج'!$B$6:$B$81,$A7)</x:f>
        <x:v>10</x:v>
      </x:c>
      <x:c r="C7" s="18" t="n">
        <x:f>COUNTIFS('النتائج'!$B$6:$B$81,$A7,'النتائج'!$F$6:$F$81,"لم يُنفذ")</x:f>
        <x:v>10</x:v>
      </x:c>
      <x:c r="D7" s="18" t="n">
        <x:f>COUNTIFS('النتائج'!$B$6:$B$81,$A7,'النتائج'!$F$6:$F$81,"ناجح")</x:f>
        <x:v>0</x:v>
      </x:c>
      <x:c r="E7" s="18" t="n">
        <x:f>COUNTIFS('النتائج'!$B$6:$B$81,$A7,'النتائج'!$F$6:$F$81,"فاشل")</x:f>
        <x:v>0</x:v>
      </x:c>
      <x:c r="F7" s="18" t="n">
        <x:f>COUNTIFS('النتائج'!$B$6:$B$81,$A7,'النتائج'!$F$6:$F$81,"متعذر التنفيذ")</x:f>
        <x:v>0</x:v>
      </x:c>
      <x:c r="G7" s="18" t="n">
        <x:f>COUNTIFS('النتائج'!$B$6:$B$81,$A7,'النتائج'!$F$6:$F$81,"غير منطبق")</x:f>
        <x:v>0</x:v>
      </x:c>
      <x:c r="H7" s="18" t="n">
        <x:f>COUNTIFS('النتائج'!$B$6:$B$81,$A7,'النتائج'!$C$6:$C$81,"P0",'النتائج'!$F$6:$F$81,"&lt;&gt;ناجح")</x:f>
        <x:v>4</x:v>
      </x:c>
      <x:c r="I7" s="18" t="n">
        <x:f>COUNTIFS('النتائج'!$B$6:$B$81,$A7,'النتائج'!$O$6:$O$81,"موثق")+COUNTIFS('النتائج'!$B$6:$B$81,$A7,'النتائج'!$O$6:$O$81,"مراجعة قرار الاستبعاد")</x:f>
        <x:v>0</x:v>
      </x:c>
      <x:c r="J7" s="25"/>
      <x:c r="K7" s="25"/>
      <x:c r="L7" s="25"/>
      <x:c r="M7" s="25"/>
      <x:c r="N7" s="25"/>
      <x:c r="O7" s="25"/>
    </x:row>
    <x:row r="8" ht="42" customHeight="1">
      <x:c r="A8" s="22" t="str">
        <x:v>الاستقطاب والتوظيف</x:v>
      </x:c>
      <x:c r="B8" s="18" t="n">
        <x:f>COUNTIFS('النتائج'!$B$6:$B$81,$A8)</x:f>
        <x:v>8</x:v>
      </x:c>
      <x:c r="C8" s="18" t="n">
        <x:f>COUNTIFS('النتائج'!$B$6:$B$81,$A8,'النتائج'!$F$6:$F$81,"لم يُنفذ")</x:f>
        <x:v>8</x:v>
      </x:c>
      <x:c r="D8" s="18" t="n">
        <x:f>COUNTIFS('النتائج'!$B$6:$B$81,$A8,'النتائج'!$F$6:$F$81,"ناجح")</x:f>
        <x:v>0</x:v>
      </x:c>
      <x:c r="E8" s="18" t="n">
        <x:f>COUNTIFS('النتائج'!$B$6:$B$81,$A8,'النتائج'!$F$6:$F$81,"فاشل")</x:f>
        <x:v>0</x:v>
      </x:c>
      <x:c r="F8" s="18" t="n">
        <x:f>COUNTIFS('النتائج'!$B$6:$B$81,$A8,'النتائج'!$F$6:$F$81,"متعذر التنفيذ")</x:f>
        <x:v>0</x:v>
      </x:c>
      <x:c r="G8" s="18" t="n">
        <x:f>COUNTIFS('النتائج'!$B$6:$B$81,$A8,'النتائج'!$F$6:$F$81,"غير منطبق")</x:f>
        <x:v>0</x:v>
      </x:c>
      <x:c r="H8" s="18" t="n">
        <x:f>COUNTIFS('النتائج'!$B$6:$B$81,$A8,'النتائج'!$C$6:$C$81,"P0",'النتائج'!$F$6:$F$81,"&lt;&gt;ناجح")</x:f>
        <x:v>2</x:v>
      </x:c>
      <x:c r="I8" s="18" t="n">
        <x:f>COUNTIFS('النتائج'!$B$6:$B$81,$A8,'النتائج'!$O$6:$O$81,"موثق")+COUNTIFS('النتائج'!$B$6:$B$81,$A8,'النتائج'!$O$6:$O$81,"مراجعة قرار الاستبعاد")</x:f>
        <x:v>0</x:v>
      </x:c>
      <x:c r="J8" s="25"/>
      <x:c r="K8" s="25"/>
      <x:c r="L8" s="25"/>
      <x:c r="M8" s="25"/>
      <x:c r="N8" s="25"/>
      <x:c r="O8" s="25"/>
    </x:row>
    <x:row r="9" ht="42" customHeight="1">
      <x:c r="A9" s="22" t="str">
        <x:v>الحضور وجدولة القوى العاملة</x:v>
      </x:c>
      <x:c r="B9" s="18" t="n">
        <x:f>COUNTIFS('النتائج'!$B$6:$B$81,$A9)</x:f>
        <x:v>12</x:v>
      </x:c>
      <x:c r="C9" s="18" t="n">
        <x:f>COUNTIFS('النتائج'!$B$6:$B$81,$A9,'النتائج'!$F$6:$F$81,"لم يُنفذ")</x:f>
        <x:v>12</x:v>
      </x:c>
      <x:c r="D9" s="18" t="n">
        <x:f>COUNTIFS('النتائج'!$B$6:$B$81,$A9,'النتائج'!$F$6:$F$81,"ناجح")</x:f>
        <x:v>0</x:v>
      </x:c>
      <x:c r="E9" s="18" t="n">
        <x:f>COUNTIFS('النتائج'!$B$6:$B$81,$A9,'النتائج'!$F$6:$F$81,"فاشل")</x:f>
        <x:v>0</x:v>
      </x:c>
      <x:c r="F9" s="18" t="n">
        <x:f>COUNTIFS('النتائج'!$B$6:$B$81,$A9,'النتائج'!$F$6:$F$81,"متعذر التنفيذ")</x:f>
        <x:v>0</x:v>
      </x:c>
      <x:c r="G9" s="18" t="n">
        <x:f>COUNTIFS('النتائج'!$B$6:$B$81,$A9,'النتائج'!$F$6:$F$81,"غير منطبق")</x:f>
        <x:v>0</x:v>
      </x:c>
      <x:c r="H9" s="18" t="n">
        <x:f>COUNTIFS('النتائج'!$B$6:$B$81,$A9,'النتائج'!$C$6:$C$81,"P0",'النتائج'!$F$6:$F$81,"&lt;&gt;ناجح")</x:f>
        <x:v>6</x:v>
      </x:c>
      <x:c r="I9" s="18" t="n">
        <x:f>COUNTIFS('النتائج'!$B$6:$B$81,$A9,'النتائج'!$O$6:$O$81,"موثق")+COUNTIFS('النتائج'!$B$6:$B$81,$A9,'النتائج'!$O$6:$O$81,"مراجعة قرار الاستبعاد")</x:f>
        <x:v>0</x:v>
      </x:c>
      <x:c r="J9" s="25"/>
      <x:c r="K9" s="25"/>
      <x:c r="L9" s="25"/>
      <x:c r="M9" s="25"/>
      <x:c r="N9" s="25"/>
      <x:c r="O9" s="25"/>
    </x:row>
    <x:row r="10" ht="42" customHeight="1">
      <x:c r="A10" s="22" t="str">
        <x:v>إدارة الإجازات</x:v>
      </x:c>
      <x:c r="B10" s="18" t="n">
        <x:f>COUNTIFS('النتائج'!$B$6:$B$81,$A10)</x:f>
        <x:v>10</x:v>
      </x:c>
      <x:c r="C10" s="18" t="n">
        <x:f>COUNTIFS('النتائج'!$B$6:$B$81,$A10,'النتائج'!$F$6:$F$81,"لم يُنفذ")</x:f>
        <x:v>10</x:v>
      </x:c>
      <x:c r="D10" s="18" t="n">
        <x:f>COUNTIFS('النتائج'!$B$6:$B$81,$A10,'النتائج'!$F$6:$F$81,"ناجح")</x:f>
        <x:v>0</x:v>
      </x:c>
      <x:c r="E10" s="18" t="n">
        <x:f>COUNTIFS('النتائج'!$B$6:$B$81,$A10,'النتائج'!$F$6:$F$81,"فاشل")</x:f>
        <x:v>0</x:v>
      </x:c>
      <x:c r="F10" s="18" t="n">
        <x:f>COUNTIFS('النتائج'!$B$6:$B$81,$A10,'النتائج'!$F$6:$F$81,"متعذر التنفيذ")</x:f>
        <x:v>0</x:v>
      </x:c>
      <x:c r="G10" s="18" t="n">
        <x:f>COUNTIFS('النتائج'!$B$6:$B$81,$A10,'النتائج'!$F$6:$F$81,"غير منطبق")</x:f>
        <x:v>0</x:v>
      </x:c>
      <x:c r="H10" s="18" t="n">
        <x:f>COUNTIFS('النتائج'!$B$6:$B$81,$A10,'النتائج'!$C$6:$C$81,"P0",'النتائج'!$F$6:$F$81,"&lt;&gt;ناجح")</x:f>
        <x:v>8</x:v>
      </x:c>
      <x:c r="I10" s="18" t="n">
        <x:f>COUNTIFS('النتائج'!$B$6:$B$81,$A10,'النتائج'!$O$6:$O$81,"موثق")+COUNTIFS('النتائج'!$B$6:$B$81,$A10,'النتائج'!$O$6:$O$81,"مراجعة قرار الاستبعاد")</x:f>
        <x:v>0</x:v>
      </x:c>
      <x:c r="J10" s="25"/>
      <x:c r="K10" s="25"/>
      <x:c r="L10" s="25"/>
      <x:c r="M10" s="25"/>
      <x:c r="N10" s="25"/>
      <x:c r="O10" s="25"/>
    </x:row>
    <x:row r="11" ht="42" customHeight="1">
      <x:c r="A11" s="22" t="str">
        <x:v>الرواتب والتعويضات</x:v>
      </x:c>
      <x:c r="B11" s="18" t="n">
        <x:f>COUNTIFS('النتائج'!$B$6:$B$81,$A11)</x:f>
        <x:v>12</x:v>
      </x:c>
      <x:c r="C11" s="18" t="n">
        <x:f>COUNTIFS('النتائج'!$B$6:$B$81,$A11,'النتائج'!$F$6:$F$81,"لم يُنفذ")</x:f>
        <x:v>12</x:v>
      </x:c>
      <x:c r="D11" s="18" t="n">
        <x:f>COUNTIFS('النتائج'!$B$6:$B$81,$A11,'النتائج'!$F$6:$F$81,"ناجح")</x:f>
        <x:v>0</x:v>
      </x:c>
      <x:c r="E11" s="18" t="n">
        <x:f>COUNTIFS('النتائج'!$B$6:$B$81,$A11,'النتائج'!$F$6:$F$81,"فاشل")</x:f>
        <x:v>0</x:v>
      </x:c>
      <x:c r="F11" s="18" t="n">
        <x:f>COUNTIFS('النتائج'!$B$6:$B$81,$A11,'النتائج'!$F$6:$F$81,"متعذر التنفيذ")</x:f>
        <x:v>0</x:v>
      </x:c>
      <x:c r="G11" s="18" t="n">
        <x:f>COUNTIFS('النتائج'!$B$6:$B$81,$A11,'النتائج'!$F$6:$F$81,"غير منطبق")</x:f>
        <x:v>0</x:v>
      </x:c>
      <x:c r="H11" s="18" t="n">
        <x:f>COUNTIFS('النتائج'!$B$6:$B$81,$A11,'النتائج'!$C$6:$C$81,"P0",'النتائج'!$F$6:$F$81,"&lt;&gt;ناجح")</x:f>
        <x:v>12</x:v>
      </x:c>
      <x:c r="I11" s="18" t="n">
        <x:f>COUNTIFS('النتائج'!$B$6:$B$81,$A11,'النتائج'!$O$6:$O$81,"موثق")+COUNTIFS('النتائج'!$B$6:$B$81,$A11,'النتائج'!$O$6:$O$81,"مراجعة قرار الاستبعاد")</x:f>
        <x:v>0</x:v>
      </x:c>
      <x:c r="J11" s="25"/>
      <x:c r="K11" s="25"/>
      <x:c r="L11" s="25"/>
      <x:c r="M11" s="25"/>
      <x:c r="N11" s="25"/>
      <x:c r="O11" s="25"/>
    </x:row>
    <x:row r="12" ht="42" customHeight="1">
      <x:c r="A12" s="22" t="str">
        <x:v>إدارة الأداء</x:v>
      </x:c>
      <x:c r="B12" s="18" t="n">
        <x:f>COUNTIFS('النتائج'!$B$6:$B$81,$A12)</x:f>
        <x:v>6</x:v>
      </x:c>
      <x:c r="C12" s="18" t="n">
        <x:f>COUNTIFS('النتائج'!$B$6:$B$81,$A12,'النتائج'!$F$6:$F$81,"لم يُنفذ")</x:f>
        <x:v>6</x:v>
      </x:c>
      <x:c r="D12" s="18" t="n">
        <x:f>COUNTIFS('النتائج'!$B$6:$B$81,$A12,'النتائج'!$F$6:$F$81,"ناجح")</x:f>
        <x:v>0</x:v>
      </x:c>
      <x:c r="E12" s="18" t="n">
        <x:f>COUNTIFS('النتائج'!$B$6:$B$81,$A12,'النتائج'!$F$6:$F$81,"فاشل")</x:f>
        <x:v>0</x:v>
      </x:c>
      <x:c r="F12" s="18" t="n">
        <x:f>COUNTIFS('النتائج'!$B$6:$B$81,$A12,'النتائج'!$F$6:$F$81,"متعذر التنفيذ")</x:f>
        <x:v>0</x:v>
      </x:c>
      <x:c r="G12" s="18" t="n">
        <x:f>COUNTIFS('النتائج'!$B$6:$B$81,$A12,'النتائج'!$F$6:$F$81,"غير منطبق")</x:f>
        <x:v>0</x:v>
      </x:c>
      <x:c r="H12" s="18" t="n">
        <x:f>COUNTIFS('النتائج'!$B$6:$B$81,$A12,'النتائج'!$C$6:$C$81,"P0",'النتائج'!$F$6:$F$81,"&lt;&gt;ناجح")</x:f>
        <x:v>0</x:v>
      </x:c>
      <x:c r="I12" s="18" t="n">
        <x:f>COUNTIFS('النتائج'!$B$6:$B$81,$A12,'النتائج'!$O$6:$O$81,"موثق")+COUNTIFS('النتائج'!$B$6:$B$81,$A12,'النتائج'!$O$6:$O$81,"مراجعة قرار الاستبعاد")</x:f>
        <x:v>0</x:v>
      </x:c>
      <x:c r="J12" s="25"/>
      <x:c r="K12" s="25"/>
      <x:c r="L12" s="25"/>
      <x:c r="M12" s="25"/>
      <x:c r="N12" s="25"/>
      <x:c r="O12" s="25"/>
    </x:row>
    <x:row r="13" ht="42" customHeight="1">
      <x:c r="A13" s="22" t="str">
        <x:v>التدريب والتطوير</x:v>
      </x:c>
      <x:c r="B13" s="18" t="n">
        <x:f>COUNTIFS('النتائج'!$B$6:$B$81,$A13)</x:f>
        <x:v>6</x:v>
      </x:c>
      <x:c r="C13" s="18" t="n">
        <x:f>COUNTIFS('النتائج'!$B$6:$B$81,$A13,'النتائج'!$F$6:$F$81,"لم يُنفذ")</x:f>
        <x:v>6</x:v>
      </x:c>
      <x:c r="D13" s="18" t="n">
        <x:f>COUNTIFS('النتائج'!$B$6:$B$81,$A13,'النتائج'!$F$6:$F$81,"ناجح")</x:f>
        <x:v>0</x:v>
      </x:c>
      <x:c r="E13" s="18" t="n">
        <x:f>COUNTIFS('النتائج'!$B$6:$B$81,$A13,'النتائج'!$F$6:$F$81,"فاشل")</x:f>
        <x:v>0</x:v>
      </x:c>
      <x:c r="F13" s="18" t="n">
        <x:f>COUNTIFS('النتائج'!$B$6:$B$81,$A13,'النتائج'!$F$6:$F$81,"متعذر التنفيذ")</x:f>
        <x:v>0</x:v>
      </x:c>
      <x:c r="G13" s="18" t="n">
        <x:f>COUNTIFS('النتائج'!$B$6:$B$81,$A13,'النتائج'!$F$6:$F$81,"غير منطبق")</x:f>
        <x:v>0</x:v>
      </x:c>
      <x:c r="H13" s="18" t="n">
        <x:f>COUNTIFS('النتائج'!$B$6:$B$81,$A13,'النتائج'!$C$6:$C$81,"P0",'النتائج'!$F$6:$F$81,"&lt;&gt;ناجح")</x:f>
        <x:v>0</x:v>
      </x:c>
      <x:c r="I13" s="18" t="n">
        <x:f>COUNTIFS('النتائج'!$B$6:$B$81,$A13,'النتائج'!$O$6:$O$81,"موثق")+COUNTIFS('النتائج'!$B$6:$B$81,$A13,'النتائج'!$O$6:$O$81,"مراجعة قرار الاستبعاد")</x:f>
        <x:v>0</x:v>
      </x:c>
      <x:c r="J13" s="25"/>
      <x:c r="K13" s="25"/>
      <x:c r="L13" s="25"/>
      <x:c r="M13" s="25"/>
      <x:c r="N13" s="25"/>
      <x:c r="O13" s="25"/>
    </x:row>
    <x:row r="14" ht="42" customHeight="1">
      <x:c r="A14" s="22" t="str">
        <x:v>التقارير والضوابط المشتركة</x:v>
      </x:c>
      <x:c r="B14" s="18" t="n">
        <x:f>COUNTIFS('النتائج'!$B$6:$B$81,$A14)</x:f>
        <x:v>8</x:v>
      </x:c>
      <x:c r="C14" s="18" t="n">
        <x:f>COUNTIFS('النتائج'!$B$6:$B$81,$A14,'النتائج'!$F$6:$F$81,"لم يُنفذ")</x:f>
        <x:v>8</x:v>
      </x:c>
      <x:c r="D14" s="18" t="n">
        <x:f>COUNTIFS('النتائج'!$B$6:$B$81,$A14,'النتائج'!$F$6:$F$81,"ناجح")</x:f>
        <x:v>0</x:v>
      </x:c>
      <x:c r="E14" s="18" t="n">
        <x:f>COUNTIFS('النتائج'!$B$6:$B$81,$A14,'النتائج'!$F$6:$F$81,"فاشل")</x:f>
        <x:v>0</x:v>
      </x:c>
      <x:c r="F14" s="18" t="n">
        <x:f>COUNTIFS('النتائج'!$B$6:$B$81,$A14,'النتائج'!$F$6:$F$81,"متعذر التنفيذ")</x:f>
        <x:v>0</x:v>
      </x:c>
      <x:c r="G14" s="18" t="n">
        <x:f>COUNTIFS('النتائج'!$B$6:$B$81,$A14,'النتائج'!$F$6:$F$81,"غير منطبق")</x:f>
        <x:v>0</x:v>
      </x:c>
      <x:c r="H14" s="18" t="n">
        <x:f>COUNTIFS('النتائج'!$B$6:$B$81,$A14,'النتائج'!$C$6:$C$81,"P0",'النتائج'!$F$6:$F$81,"&lt;&gt;ناجح")</x:f>
        <x:v>4</x:v>
      </x:c>
      <x:c r="I14" s="18" t="n">
        <x:f>COUNTIFS('النتائج'!$B$6:$B$81,$A14,'النتائج'!$O$6:$O$81,"موثق")+COUNTIFS('النتائج'!$B$6:$B$81,$A14,'النتائج'!$O$6:$O$81,"مراجعة قرار الاستبعاد")</x:f>
        <x:v>0</x:v>
      </x:c>
      <x:c r="J14" s="25"/>
      <x:c r="K14" s="25"/>
      <x:c r="L14" s="25"/>
      <x:c r="M14" s="25"/>
      <x:c r="N14" s="25"/>
      <x:c r="O14" s="25"/>
    </x:row>
    <x:row r="15" ht="42" customHeight="1">
      <x:c r="A15" s="22" t="str">
        <x:v>مسارات العمل المتكاملة</x:v>
      </x:c>
      <x:c r="B15" s="18" t="n">
        <x:f>COUNTIFS('النتائج'!$B$6:$B$81,$A15)</x:f>
        <x:v>4</x:v>
      </x:c>
      <x:c r="C15" s="18" t="n">
        <x:f>COUNTIFS('النتائج'!$B$6:$B$81,$A15,'النتائج'!$F$6:$F$81,"لم يُنفذ")</x:f>
        <x:v>4</x:v>
      </x:c>
      <x:c r="D15" s="18" t="n">
        <x:f>COUNTIFS('النتائج'!$B$6:$B$81,$A15,'النتائج'!$F$6:$F$81,"ناجح")</x:f>
        <x:v>0</x:v>
      </x:c>
      <x:c r="E15" s="18" t="n">
        <x:f>COUNTIFS('النتائج'!$B$6:$B$81,$A15,'النتائج'!$F$6:$F$81,"فاشل")</x:f>
        <x:v>0</x:v>
      </x:c>
      <x:c r="F15" s="18" t="n">
        <x:f>COUNTIFS('النتائج'!$B$6:$B$81,$A15,'النتائج'!$F$6:$F$81,"متعذر التنفيذ")</x:f>
        <x:v>0</x:v>
      </x:c>
      <x:c r="G15" s="18" t="n">
        <x:f>COUNTIFS('النتائج'!$B$6:$B$81,$A15,'النتائج'!$F$6:$F$81,"غير منطبق")</x:f>
        <x:v>0</x:v>
      </x:c>
      <x:c r="H15" s="18" t="n">
        <x:f>COUNTIFS('النتائج'!$B$6:$B$81,$A15,'النتائج'!$C$6:$C$81,"P0",'النتائج'!$F$6:$F$81,"&lt;&gt;ناجح")</x:f>
        <x:v>4</x:v>
      </x:c>
      <x:c r="I15" s="18" t="n">
        <x:f>COUNTIFS('النتائج'!$B$6:$B$81,$A15,'النتائج'!$O$6:$O$81,"موثق")+COUNTIFS('النتائج'!$B$6:$B$81,$A15,'النتائج'!$O$6:$O$81,"مراجعة قرار الاستبعاد")</x:f>
        <x:v>0</x:v>
      </x:c>
      <x:c r="J15" s="25"/>
      <x:c r="K15" s="25"/>
      <x:c r="L15" s="25"/>
      <x:c r="M15" s="25"/>
      <x:c r="N15" s="25"/>
      <x:c r="O15" s="25"/>
    </x:row>
    <x:row r="16" ht="42" customHeight="1">
      <x:c r="A16" s="23" t="str">
        <x:v>الإجمالي</x:v>
      </x:c>
      <x:c r="B16" s="24" t="n">
        <x:f>SUM(B7:B15)</x:f>
        <x:v>76</x:v>
      </x:c>
      <x:c r="C16" s="24" t="n">
        <x:f>SUM(C7:C15)</x:f>
        <x:v>76</x:v>
      </x:c>
      <x:c r="D16" s="24" t="n">
        <x:f>SUM(D7:D15)</x:f>
        <x:v>0</x:v>
      </x:c>
      <x:c r="E16" s="24" t="n">
        <x:f>SUM(E7:E15)</x:f>
        <x:v>0</x:v>
      </x:c>
      <x:c r="F16" s="24" t="n">
        <x:f>SUM(F7:F15)</x:f>
        <x:v>0</x:v>
      </x:c>
      <x:c r="G16" s="24" t="n">
        <x:f>SUM(G7:G15)</x:f>
        <x:v>0</x:v>
      </x:c>
      <x:c r="H16" s="24" t="n">
        <x:f>SUM(H7:H15)</x:f>
        <x:v>40</x:v>
      </x:c>
      <x:c r="I16" s="24" t="n">
        <x:f>SUM(I7:I15)</x:f>
        <x:v>0</x:v>
      </x:c>
      <x:c r="J16" s="25"/>
      <x:c r="K16" s="25"/>
      <x:c r="L16" s="25"/>
      <x:c r="M16" s="25"/>
      <x:c r="N16" s="25"/>
      <x:c r="O16" s="25"/>
    </x:row>
    <x:row r="17">
      <x:c r="A17" s="18"/>
      <x:c r="B17" s="18"/>
      <x:c r="C17" s="18"/>
      <x:c r="D17" s="18"/>
      <x:c r="E17" s="18"/>
      <x:c r="F17" s="18"/>
      <x:c r="G17" s="18"/>
      <x:c r="H17" s="18"/>
      <x:c r="I17" s="18"/>
      <x:c r="J17" s="25"/>
      <x:c r="K17" s="25"/>
      <x:c r="L17" s="25"/>
      <x:c r="M17" s="25"/>
      <x:c r="N17" s="25"/>
      <x:c r="O17" s="25"/>
    </x:row>
    <x:row r="18">
      <x:c r="A18" s="18"/>
      <x:c r="B18" s="18"/>
      <x:c r="C18" s="18"/>
      <x:c r="D18" s="18"/>
      <x:c r="E18" s="18"/>
      <x:c r="F18" s="18"/>
      <x:c r="G18" s="18"/>
      <x:c r="H18" s="18"/>
      <x:c r="I18" s="18"/>
      <x:c r="J18" s="25"/>
      <x:c r="K18" s="25"/>
      <x:c r="L18" s="25"/>
      <x:c r="M18" s="25"/>
      <x:c r="N18" s="25"/>
      <x:c r="O18" s="25"/>
    </x:row>
    <x:row r="19" ht="42" customHeight="1">
      <x:c r="A19" s="22" t="str">
        <x:v>متطلبات التحضير غير المكتملة</x:v>
      </x:c>
      <x:c r="B19" s="18" t="n">
        <x:f>19-SUM('التحضير'!$H$6:$H$24)</x:f>
        <x:v>19</x:v>
      </x:c>
      <x:c r="C19" s="18"/>
      <x:c r="D19" s="18"/>
      <x:c r="E19" s="18"/>
      <x:c r="F19" s="18"/>
      <x:c r="G19" s="18"/>
      <x:c r="H19" s="18"/>
      <x:c r="I19" s="18"/>
      <x:c r="J19" s="25"/>
      <x:c r="K19" s="25"/>
      <x:c r="L19" s="25"/>
      <x:c r="M19" s="25"/>
      <x:c r="N19" s="25"/>
      <x:c r="O19" s="25"/>
    </x:row>
    <x:row r="20" ht="42" customHeight="1">
      <x:c r="A20" s="22" t="str">
        <x:v>ملاحظات حرجة أو جسيمة لم تُعالج</x:v>
      </x:c>
      <x:c r="B20" s="18" t="n">
        <x:f>COUNTIFS('الملاحظات'!$D$6:$D$45,"حرج",'الملاحظات'!$I$6:$I$45,"&lt;&gt;مغلق")+COUNTIFS('الملاحظات'!$D$6:$D$45,"جسيم",'الملاحظات'!$I$6:$I$45,"&lt;&gt;مغلق")</x:f>
        <x:v>0</x:v>
      </x:c>
      <x:c r="C20" s="18"/>
      <x:c r="D20" s="18"/>
      <x:c r="E20" s="18"/>
      <x:c r="F20" s="18"/>
      <x:c r="G20" s="18"/>
      <x:c r="H20" s="18"/>
      <x:c r="I20" s="18"/>
      <x:c r="J20" s="25"/>
      <x:c r="K20" s="25"/>
      <x:c r="L20" s="25"/>
      <x:c r="M20" s="25"/>
      <x:c r="N20" s="25"/>
      <x:c r="O20" s="25"/>
    </x:row>
    <x:row r="21" ht="42" customHeight="1">
      <x:c r="A21" s="22" t="str">
        <x:v>ملاحظات طفيفة لم تُغلق أو يُقبل حل بديل لها</x:v>
      </x:c>
      <x:c r="B21" s="18" t="n">
        <x:f>SUM('الملاحظات'!$M$6:$M$45)</x:f>
        <x:v>0</x:v>
      </x:c>
      <x:c r="C21" s="18"/>
      <x:c r="D21" s="18"/>
      <x:c r="E21" s="18"/>
      <x:c r="F21" s="18"/>
      <x:c r="G21" s="18"/>
      <x:c r="H21" s="18"/>
      <x:c r="I21" s="18"/>
      <x:c r="J21" s="25"/>
      <x:c r="K21" s="25"/>
      <x:c r="L21" s="25"/>
      <x:c r="M21" s="25"/>
      <x:c r="N21" s="25"/>
      <x:c r="O21" s="25"/>
    </x:row>
    <x:row r="22" ht="42" customHeight="1">
      <x:c r="A22" s="22" t="str">
        <x:v>أدلة أو قرارات استبعاد غير مكتملة</x:v>
      </x:c>
      <x:c r="B22" s="18" t="n">
        <x:f>B16-I16</x:f>
        <x:v>76</x:v>
      </x:c>
      <x:c r="C22" s="18"/>
      <x:c r="D22" s="18"/>
      <x:c r="E22" s="18"/>
      <x:c r="F22" s="18"/>
      <x:c r="G22" s="18"/>
      <x:c r="H22" s="18"/>
      <x:c r="I22" s="18"/>
      <x:c r="J22" s="25"/>
      <x:c r="K22" s="25"/>
      <x:c r="L22" s="25"/>
      <x:c r="M22" s="25"/>
      <x:c r="N22" s="25"/>
      <x:c r="O22" s="25"/>
    </x:row>
    <x:row r="23" ht="42" customHeight="1">
      <x:c r="A23" s="22" t="str">
        <x:v>اعتمادات غير مكتملة</x:v>
      </x:c>
      <x:c r="B23" s="18" t="n">
        <x:f>10-SUM('الاعتماد'!$I$6:$I$15)</x:f>
        <x:v>10</x:v>
      </x:c>
      <x:c r="C23" s="18"/>
      <x:c r="D23" s="18"/>
      <x:c r="E23" s="18"/>
      <x:c r="F23" s="18"/>
      <x:c r="G23" s="18"/>
      <x:c r="H23" s="18"/>
      <x:c r="I23" s="18"/>
      <x:c r="J23" s="25"/>
      <x:c r="K23" s="25"/>
      <x:c r="L23" s="25"/>
      <x:c r="M23" s="25"/>
      <x:c r="N23" s="25"/>
      <x:c r="O23" s="25"/>
    </x:row>
    <x:row r="24" ht="42" customHeight="1">
      <x:c r="A24" s="22" t="str">
        <x:v>دعم القرار</x:v>
      </x:c>
      <x:c r="B24" s="18" t="str">
        <x:v>يلزم إجراء مراجعة بشرية قبل اعتماد الإصدار</x:v>
      </x:c>
      <x:c r="C24" s="18"/>
      <x:c r="D24" s="18"/>
      <x:c r="E24" s="18"/>
      <x:c r="F24" s="18"/>
      <x:c r="G24" s="18"/>
      <x:c r="H24" s="18"/>
      <x:c r="I24" s="18"/>
      <x:c r="J24" s="25"/>
      <x:c r="K24" s="25"/>
      <x:c r="L24" s="25"/>
      <x:c r="M24" s="25"/>
      <x:c r="N24" s="25"/>
      <x:c r="O24" s="25"/>
    </x:row>
    <x:row r="25">
      <x:c r="A25" s="18"/>
      <x:c r="B25" s="18"/>
      <x:c r="C25" s="18"/>
      <x:c r="D25" s="18"/>
      <x:c r="E25" s="18"/>
      <x:c r="F25" s="18"/>
      <x:c r="G25" s="18"/>
      <x:c r="H25" s="18"/>
      <x:c r="I25" s="18"/>
      <x:c r="J25" s="25"/>
      <x:c r="K25" s="25"/>
      <x:c r="L25" s="25"/>
      <x:c r="M25" s="25"/>
      <x:c r="N25" s="25"/>
      <x:c r="O25" s="25"/>
    </x:row>
    <x:row r="26">
      <x:c r="A26" s="18"/>
      <x:c r="B26" s="18"/>
      <x:c r="C26" s="18"/>
      <x:c r="D26" s="18"/>
      <x:c r="E26" s="18"/>
      <x:c r="F26" s="18"/>
      <x:c r="G26" s="18"/>
      <x:c r="H26" s="18"/>
      <x:c r="I26" s="18"/>
      <x:c r="J26" s="25"/>
      <x:c r="K26" s="25"/>
      <x:c r="L26" s="25"/>
      <x:c r="M26" s="25"/>
      <x:c r="N26" s="25"/>
      <x:c r="O26" s="25"/>
    </x:row>
    <x:row r="27" ht="38" customHeight="1">
      <x:c r="A27" s="22" t="str">
        <x:v>ابدأ بورقة التحضير، ثم صفِّ النتائج حسب المرحلة ومجال العمل بالرجوع إلى حالات الاختبار. الخلايا الصفراء قابلة للتحرير.</x:v>
      </x:c>
      <x:c r="B27" s="22"/>
      <x:c r="C27" s="22"/>
      <x:c r="D27" s="22"/>
      <x:c r="E27" s="22"/>
      <x:c r="F27" s="22"/>
      <x:c r="G27" s="22"/>
      <x:c r="H27" s="22"/>
      <x:c r="I27" s="22"/>
      <x:c r="J27" s="25"/>
      <x:c r="K27" s="25"/>
      <x:c r="L27" s="25"/>
      <x:c r="M27" s="25"/>
      <x:c r="N27" s="25"/>
      <x:c r="O27" s="25"/>
    </x:row>
    <x:row r="28">
      <x:c r="A28" s="18"/>
      <x:c r="B28" s="18"/>
      <x:c r="C28" s="18"/>
      <x:c r="D28" s="18"/>
      <x:c r="E28" s="18"/>
      <x:c r="F28" s="18"/>
      <x:c r="G28" s="18"/>
      <x:c r="H28" s="18"/>
      <x:c r="I28" s="18"/>
      <x:c r="J28" s="25"/>
      <x:c r="K28" s="25"/>
      <x:c r="L28" s="25"/>
      <x:c r="M28" s="25"/>
      <x:c r="N28" s="25"/>
      <x:c r="O28" s="25"/>
    </x:row>
    <x:row r="29" ht="38" customHeight="1">
      <x:c r="A29" s="22" t="str">
        <x:v>P0 = حرج؛ P1 = مطلوب. لا تُسجل النتيجة ناجح إلا بعد نجاح جميع السيناريوهات الفرعية.</x:v>
      </x:c>
      <x:c r="B29" s="22"/>
      <x:c r="C29" s="22"/>
      <x:c r="D29" s="22"/>
      <x:c r="E29" s="22"/>
      <x:c r="F29" s="22"/>
      <x:c r="G29" s="22"/>
      <x:c r="H29" s="22"/>
      <x:c r="I29" s="22"/>
      <x:c r="J29" s="25"/>
      <x:c r="K29" s="25"/>
      <x:c r="L29" s="25"/>
      <x:c r="M29" s="25"/>
      <x:c r="N29" s="25"/>
      <x:c r="O29" s="25"/>
    </x:row>
    <x:row r="30">
      <x:c r="A30" s="18"/>
      <x:c r="B30" s="18"/>
      <x:c r="C30" s="18"/>
      <x:c r="D30" s="18"/>
      <x:c r="E30" s="18"/>
      <x:c r="F30" s="18"/>
      <x:c r="G30" s="18"/>
      <x:c r="H30" s="18"/>
      <x:c r="I30" s="18"/>
      <x:c r="J30" s="25"/>
      <x:c r="K30" s="25"/>
      <x:c r="L30" s="25"/>
      <x:c r="M30" s="25"/>
      <x:c r="N30" s="25"/>
      <x:c r="O30" s="25"/>
    </x:row>
    <x:row r="31" ht="38" customHeight="1">
      <x:c r="A31" s="22" t="str">
        <x:v>لا تعتبر الوظيفة المفقودة ناجحة؛ سجّل فجوة وظيفية. حالة غير منطبق تتطلب موافقة المسؤول والمراجع.</x:v>
      </x:c>
      <x:c r="B31" s="22"/>
      <x:c r="C31" s="22"/>
      <x:c r="D31" s="22"/>
      <x:c r="E31" s="22"/>
      <x:c r="F31" s="22"/>
      <x:c r="G31" s="22"/>
      <x:c r="H31" s="22"/>
      <x:c r="I31" s="22"/>
      <x:c r="J31" s="25"/>
      <x:c r="K31" s="25"/>
      <x:c r="L31" s="25"/>
      <x:c r="M31" s="25"/>
      <x:c r="N31" s="25"/>
      <x:c r="O31" s="25"/>
    </x:row>
    <x:row r="32">
      <x:c r="A32" s="18"/>
      <x:c r="B32" s="18"/>
      <x:c r="C32" s="18"/>
      <x:c r="D32" s="18"/>
      <x:c r="E32" s="18"/>
      <x:c r="F32" s="18"/>
      <x:c r="G32" s="18"/>
      <x:c r="H32" s="18"/>
      <x:c r="I32" s="18"/>
      <x:c r="J32" s="25"/>
      <x:c r="K32" s="25"/>
      <x:c r="L32" s="25"/>
      <x:c r="M32" s="25"/>
      <x:c r="N32" s="25"/>
      <x:c r="O32" s="25"/>
    </x:row>
    <x:row r="33" ht="38" customHeight="1">
      <x:c r="A33" s="22" t="str">
        <x:v>الأعداد تدعم المراجعة، لكنها لا تتحقق من محتوى الأدلة ولا تمنح اعتماد الإصدار. راجع docs/uat/hr/README.md.</x:v>
      </x:c>
      <x:c r="B33" s="22"/>
      <x:c r="C33" s="22"/>
      <x:c r="D33" s="22"/>
      <x:c r="E33" s="22"/>
      <x:c r="F33" s="22"/>
      <x:c r="G33" s="22"/>
      <x:c r="H33" s="22"/>
      <x:c r="I33" s="22"/>
      <x:c r="J33" s="25"/>
      <x:c r="K33" s="25"/>
      <x:c r="L33" s="25"/>
      <x:c r="M33" s="25"/>
      <x:c r="N33" s="25"/>
      <x:c r="O33" s="25"/>
    </x:row>
    <x:row r="34">
      <x:c r="A34" s="18"/>
      <x:c r="B34" s="18"/>
      <x:c r="C34" s="18"/>
      <x:c r="D34" s="18"/>
      <x:c r="E34" s="18"/>
      <x:c r="F34" s="18"/>
      <x:c r="G34" s="18"/>
      <x:c r="H34" s="18"/>
      <x:c r="I34" s="18"/>
      <x:c r="J34" s="25"/>
      <x:c r="K34" s="25"/>
      <x:c r="L34" s="25"/>
      <x:c r="M34" s="25"/>
      <x:c r="N34" s="25"/>
      <x:c r="O34" s="25"/>
    </x:row>
    <x:row r="35" ht="38" customHeight="1">
      <x:c r="A35" s="22" t="str">
        <x:v>أضف الملاحظات داخل الجدول، ووسّع نطاقات معادلات النظرة العامة عند تجاوز الأربعين صفًا المخصصة للملاحظات.</x:v>
      </x:c>
      <x:c r="B35" s="22"/>
      <x:c r="C35" s="22"/>
      <x:c r="D35" s="22"/>
      <x:c r="E35" s="22"/>
      <x:c r="F35" s="22"/>
      <x:c r="G35" s="22"/>
      <x:c r="H35" s="22"/>
      <x:c r="I35" s="22"/>
      <x:c r="J35" s="25"/>
      <x:c r="K35" s="25"/>
      <x:c r="L35" s="25"/>
      <x:c r="M35" s="25"/>
      <x:c r="N35" s="25"/>
      <x:c r="O35" s="25"/>
    </x:row>
    <x:row r="36">
      <x:c r="A36" s="18"/>
      <x:c r="B36" s="18"/>
      <x:c r="C36" s="18"/>
      <x:c r="D36" s="18"/>
      <x:c r="E36" s="18"/>
      <x:c r="F36" s="18"/>
      <x:c r="G36" s="18"/>
      <x:c r="H36" s="18"/>
      <x:c r="I36" s="18"/>
      <x:c r="J36" s="25"/>
      <x:c r="K36" s="25"/>
      <x:c r="L36" s="25"/>
      <x:c r="M36" s="25"/>
      <x:c r="N36" s="25"/>
      <x:c r="O36" s="25"/>
    </x:row>
    <x:row r="37" ht="38" customHeight="1">
      <x:c r="A37" s="22" t="str">
        <x:v>عند إعادة الاختبار احتفظ بالنتيجة والأدلة الأصلية، وأضف أدلة إعادة الاختبار وتاريخها وإصدارها، ثم حدّث الحالة بعد المراجعة فقط.</x:v>
      </x:c>
      <x:c r="B37" s="22"/>
      <x:c r="C37" s="22"/>
      <x:c r="D37" s="22"/>
      <x:c r="E37" s="22"/>
      <x:c r="F37" s="22"/>
      <x:c r="G37" s="22"/>
      <x:c r="H37" s="22"/>
      <x:c r="I37" s="22"/>
      <x:c r="J37" s="25"/>
      <x:c r="K37" s="25"/>
      <x:c r="L37" s="25"/>
      <x:c r="M37" s="25"/>
      <x:c r="N37" s="25"/>
      <x:c r="O37" s="25"/>
    </x:row>
    <x:row r="38">
      <x:c r="A38" s="18"/>
      <x:c r="B38" s="18"/>
      <x:c r="C38" s="18"/>
      <x:c r="D38" s="18"/>
      <x:c r="E38" s="18"/>
      <x:c r="F38" s="18"/>
      <x:c r="G38" s="18"/>
      <x:c r="H38" s="18"/>
      <x:c r="I38" s="18"/>
      <x:c r="J38" s="25"/>
      <x:c r="K38" s="25"/>
      <x:c r="L38" s="25"/>
      <x:c r="M38" s="25"/>
      <x:c r="N38" s="25"/>
      <x:c r="O38" s="25"/>
    </x:row>
    <x:row r="39">
      <x:c r="A39" s="18"/>
      <x:c r="B39" s="18"/>
      <x:c r="C39" s="18"/>
      <x:c r="D39" s="18"/>
      <x:c r="E39" s="18"/>
      <x:c r="F39" s="18"/>
      <x:c r="G39" s="18"/>
      <x:c r="H39" s="18"/>
      <x:c r="I39" s="18"/>
      <x:c r="J39" s="25"/>
      <x:c r="K39" s="25"/>
      <x:c r="L39" s="25"/>
      <x:c r="M39" s="25"/>
      <x:c r="N39" s="25"/>
      <x:c r="O39" s="25"/>
    </x:row>
    <x:row r="40">
      <x:c r="A40" s="18"/>
      <x:c r="B40" s="18"/>
      <x:c r="C40" s="18"/>
      <x:c r="D40" s="18"/>
      <x:c r="E40" s="18"/>
      <x:c r="F40" s="18"/>
      <x:c r="G40" s="18"/>
      <x:c r="H40" s="18"/>
      <x:c r="I40" s="18"/>
      <x:c r="J40" s="25"/>
      <x:c r="K40" s="25"/>
      <x:c r="L40" s="25"/>
      <x:c r="M40" s="25"/>
      <x:c r="N40" s="25"/>
      <x:c r="O40" s="25"/>
    </x:row>
    <x:row r="41">
      <x:c r="A41" s="18"/>
      <x:c r="B41" s="18"/>
      <x:c r="C41" s="18"/>
      <x:c r="D41" s="18"/>
      <x:c r="E41" s="18"/>
      <x:c r="F41" s="18"/>
      <x:c r="G41" s="18"/>
      <x:c r="H41" s="18"/>
      <x:c r="I41" s="18"/>
      <x:c r="J41" s="25"/>
      <x:c r="K41" s="25"/>
      <x:c r="L41" s="25"/>
      <x:c r="M41" s="25"/>
      <x:c r="N41" s="25"/>
      <x:c r="O41" s="25"/>
    </x:row>
    <x:row r="42">
      <x:c r="A42" s="18"/>
      <x:c r="B42" s="18"/>
      <x:c r="C42" s="18"/>
      <x:c r="D42" s="18"/>
      <x:c r="E42" s="18"/>
      <x:c r="F42" s="18"/>
      <x:c r="G42" s="18"/>
      <x:c r="H42" s="18"/>
      <x:c r="I42" s="18"/>
      <x:c r="J42" s="25"/>
      <x:c r="K42" s="25"/>
      <x:c r="L42" s="25"/>
      <x:c r="M42" s="25"/>
      <x:c r="N42" s="25"/>
      <x:c r="O42" s="25"/>
    </x:row>
    <x:row r="43">
      <x:c r="A43" s="25"/>
      <x:c r="B43" s="25"/>
      <x:c r="C43" s="25"/>
      <x:c r="D43" s="25"/>
      <x:c r="E43" s="25"/>
      <x:c r="F43" s="25"/>
      <x:c r="G43" s="25"/>
      <x:c r="H43" s="25"/>
      <x:c r="I43" s="25"/>
      <x:c r="J43" s="25"/>
      <x:c r="K43" s="25"/>
      <x:c r="L43" s="25"/>
      <x:c r="M43" s="25"/>
      <x:c r="N43" s="25"/>
      <x:c r="O43" s="25"/>
    </x:row>
    <x:row r="44">
      <x:c r="A44" s="25"/>
      <x:c r="B44" s="25"/>
      <x:c r="C44" s="25"/>
      <x:c r="D44" s="25"/>
      <x:c r="E44" s="25"/>
      <x:c r="F44" s="25"/>
      <x:c r="G44" s="25"/>
      <x:c r="H44" s="25"/>
      <x:c r="I44" s="25"/>
      <x:c r="J44" s="25"/>
      <x:c r="K44" s="25"/>
      <x:c r="L44" s="25"/>
      <x:c r="M44" s="25"/>
      <x:c r="N44" s="25"/>
      <x:c r="O44" s="25"/>
    </x:row>
    <x:row r="45">
      <x:c r="A45" s="25"/>
      <x:c r="B45" s="25"/>
      <x:c r="C45" s="25"/>
      <x:c r="D45" s="25"/>
      <x:c r="E45" s="25"/>
      <x:c r="F45" s="25"/>
      <x:c r="G45" s="25"/>
      <x:c r="H45" s="25"/>
      <x:c r="I45" s="25"/>
      <x:c r="J45" s="25"/>
      <x:c r="K45" s="25"/>
      <x:c r="L45" s="25"/>
      <x:c r="M45" s="25"/>
      <x:c r="N45" s="25"/>
      <x:c r="O45" s="25"/>
    </x:row>
    <x:row r="46">
      <x:c r="A46" s="25"/>
      <x:c r="B46" s="25"/>
      <x:c r="C46" s="25"/>
      <x:c r="D46" s="25"/>
      <x:c r="E46" s="25"/>
      <x:c r="F46" s="25"/>
      <x:c r="G46" s="25"/>
      <x:c r="H46" s="25"/>
      <x:c r="I46" s="25"/>
      <x:c r="J46" s="25"/>
      <x:c r="K46" s="25"/>
      <x:c r="L46" s="25"/>
      <x:c r="M46" s="25"/>
      <x:c r="N46" s="25"/>
      <x:c r="O46" s="25"/>
    </x:row>
    <x:row r="47">
      <x:c r="A47" s="25"/>
      <x:c r="B47" s="25"/>
      <x:c r="C47" s="25"/>
      <x:c r="D47" s="25"/>
      <x:c r="E47" s="25"/>
      <x:c r="F47" s="25"/>
      <x:c r="G47" s="25"/>
      <x:c r="H47" s="25"/>
      <x:c r="I47" s="25"/>
      <x:c r="J47" s="25"/>
      <x:c r="K47" s="25"/>
      <x:c r="L47" s="25"/>
      <x:c r="M47" s="25"/>
      <x:c r="N47" s="25"/>
      <x:c r="O47" s="25"/>
    </x:row>
    <x:row r="48">
      <x:c r="A48" s="25"/>
      <x:c r="B48" s="25"/>
      <x:c r="C48" s="25"/>
      <x:c r="D48" s="25"/>
      <x:c r="E48" s="25"/>
      <x:c r="F48" s="25"/>
      <x:c r="G48" s="25"/>
      <x:c r="H48" s="25"/>
      <x:c r="I48" s="25"/>
      <x:c r="J48" s="25"/>
      <x:c r="K48" s="25"/>
      <x:c r="L48" s="25"/>
      <x:c r="M48" s="25"/>
      <x:c r="N48" s="25"/>
      <x:c r="O48" s="25"/>
    </x:row>
    <x:row r="49">
      <x:c r="A49" s="25"/>
      <x:c r="B49" s="25"/>
      <x:c r="C49" s="25"/>
      <x:c r="D49" s="25"/>
      <x:c r="E49" s="25"/>
      <x:c r="F49" s="25"/>
      <x:c r="G49" s="25"/>
      <x:c r="H49" s="25"/>
      <x:c r="I49" s="25"/>
      <x:c r="J49" s="25"/>
      <x:c r="K49" s="25"/>
      <x:c r="L49" s="25"/>
      <x:c r="M49" s="25"/>
      <x:c r="N49" s="25"/>
      <x:c r="O49" s="25"/>
    </x:row>
    <x:row r="50">
      <x:c r="A50" s="25"/>
      <x:c r="B50" s="25"/>
      <x:c r="C50" s="25"/>
      <x:c r="D50" s="25"/>
      <x:c r="E50" s="25"/>
      <x:c r="F50" s="25"/>
      <x:c r="G50" s="25"/>
      <x:c r="H50" s="25"/>
      <x:c r="I50" s="25"/>
      <x:c r="J50" s="25"/>
      <x:c r="K50" s="25"/>
      <x:c r="L50" s="25"/>
      <x:c r="M50" s="25"/>
      <x:c r="N50" s="25"/>
      <x:c r="O50" s="25"/>
    </x:row>
    <x:row r="51">
      <x:c r="A51" s="25"/>
      <x:c r="B51" s="25"/>
      <x:c r="C51" s="25"/>
      <x:c r="D51" s="25"/>
      <x:c r="E51" s="25"/>
      <x:c r="F51" s="25"/>
      <x:c r="G51" s="25"/>
      <x:c r="H51" s="25"/>
      <x:c r="I51" s="25"/>
      <x:c r="J51" s="25"/>
      <x:c r="K51" s="25"/>
      <x:c r="L51" s="25"/>
      <x:c r="M51" s="25"/>
      <x:c r="N51" s="25"/>
      <x:c r="O51" s="25"/>
    </x:row>
    <x:row r="52">
      <x:c r="A52" s="25"/>
      <x:c r="B52" s="25"/>
      <x:c r="C52" s="25"/>
      <x:c r="D52" s="25"/>
      <x:c r="E52" s="25"/>
      <x:c r="F52" s="25"/>
      <x:c r="G52" s="25"/>
      <x:c r="H52" s="25"/>
      <x:c r="I52" s="25"/>
      <x:c r="J52" s="25"/>
      <x:c r="K52" s="25"/>
      <x:c r="L52" s="25"/>
      <x:c r="M52" s="25"/>
      <x:c r="N52" s="25"/>
      <x:c r="O52" s="25"/>
    </x:row>
    <x:row r="53">
      <x:c r="A53" s="25"/>
      <x:c r="B53" s="25"/>
      <x:c r="C53" s="25"/>
      <x:c r="D53" s="25"/>
      <x:c r="E53" s="25"/>
      <x:c r="F53" s="25"/>
      <x:c r="G53" s="25"/>
      <x:c r="H53" s="25"/>
      <x:c r="I53" s="25"/>
      <x:c r="J53" s="25"/>
      <x:c r="K53" s="25"/>
      <x:c r="L53" s="25"/>
      <x:c r="M53" s="25"/>
      <x:c r="N53" s="25"/>
      <x:c r="O53" s="25"/>
    </x:row>
    <x:row r="54">
      <x:c r="A54" s="25"/>
      <x:c r="B54" s="25"/>
      <x:c r="C54" s="25"/>
      <x:c r="D54" s="25"/>
      <x:c r="E54" s="25"/>
      <x:c r="F54" s="25"/>
      <x:c r="G54" s="25"/>
      <x:c r="H54" s="25"/>
      <x:c r="I54" s="25"/>
      <x:c r="J54" s="25"/>
      <x:c r="K54" s="25"/>
      <x:c r="L54" s="25"/>
      <x:c r="M54" s="25"/>
      <x:c r="N54" s="25"/>
      <x:c r="O54" s="25"/>
    </x:row>
    <x:row r="55">
      <x:c r="A55" s="25"/>
      <x:c r="B55" s="25"/>
      <x:c r="C55" s="25"/>
      <x:c r="D55" s="25"/>
      <x:c r="E55" s="25"/>
      <x:c r="F55" s="25"/>
      <x:c r="G55" s="25"/>
      <x:c r="H55" s="25"/>
      <x:c r="I55" s="25"/>
      <x:c r="J55" s="25"/>
      <x:c r="K55" s="25"/>
      <x:c r="L55" s="25"/>
      <x:c r="M55" s="25"/>
      <x:c r="N55" s="25"/>
      <x:c r="O55" s="25"/>
    </x:row>
    <x:row r="56">
      <x:c r="A56" s="25"/>
      <x:c r="B56" s="25"/>
      <x:c r="C56" s="25"/>
      <x:c r="D56" s="25"/>
      <x:c r="E56" s="25"/>
      <x:c r="F56" s="25"/>
      <x:c r="G56" s="25"/>
      <x:c r="H56" s="25"/>
      <x:c r="I56" s="25"/>
      <x:c r="J56" s="25"/>
      <x:c r="K56" s="25"/>
      <x:c r="L56" s="25"/>
      <x:c r="M56" s="25"/>
      <x:c r="N56" s="25"/>
      <x:c r="O56" s="25"/>
    </x:row>
    <x:row r="57">
      <x:c r="A57" s="25"/>
      <x:c r="B57" s="25"/>
      <x:c r="C57" s="25"/>
      <x:c r="D57" s="25"/>
      <x:c r="E57" s="25"/>
      <x:c r="F57" s="25"/>
      <x:c r="G57" s="25"/>
      <x:c r="H57" s="25"/>
      <x:c r="I57" s="25"/>
      <x:c r="J57" s="25"/>
      <x:c r="K57" s="25"/>
      <x:c r="L57" s="25"/>
      <x:c r="M57" s="25"/>
      <x:c r="N57" s="25"/>
      <x:c r="O57" s="25"/>
    </x:row>
    <x:row r="58">
      <x:c r="A58" s="25"/>
      <x:c r="B58" s="25"/>
      <x:c r="C58" s="25"/>
      <x:c r="D58" s="25"/>
      <x:c r="E58" s="25"/>
      <x:c r="F58" s="25"/>
      <x:c r="G58" s="25"/>
      <x:c r="H58" s="25"/>
      <x:c r="I58" s="25"/>
      <x:c r="J58" s="25"/>
      <x:c r="K58" s="25"/>
      <x:c r="L58" s="25"/>
      <x:c r="M58" s="25"/>
      <x:c r="N58" s="25"/>
      <x:c r="O58" s="25"/>
    </x:row>
    <x:row r="59">
      <x:c r="A59" s="25"/>
      <x:c r="B59" s="25"/>
      <x:c r="C59" s="25"/>
      <x:c r="D59" s="25"/>
      <x:c r="E59" s="25"/>
      <x:c r="F59" s="25"/>
      <x:c r="G59" s="25"/>
      <x:c r="H59" s="25"/>
      <x:c r="I59" s="25"/>
      <x:c r="J59" s="25"/>
      <x:c r="K59" s="25"/>
      <x:c r="L59" s="25"/>
      <x:c r="M59" s="25"/>
      <x:c r="N59" s="25"/>
      <x:c r="O59" s="25"/>
    </x:row>
    <x:row r="60">
      <x:c r="A60" s="25"/>
      <x:c r="B60" s="25"/>
      <x:c r="C60" s="25"/>
      <x:c r="D60" s="25"/>
      <x:c r="E60" s="25"/>
      <x:c r="F60" s="25"/>
      <x:c r="G60" s="25"/>
      <x:c r="H60" s="25"/>
      <x:c r="I60" s="25"/>
      <x:c r="J60" s="25"/>
      <x:c r="K60" s="25"/>
      <x:c r="L60" s="25"/>
      <x:c r="M60" s="25"/>
      <x:c r="N60" s="25"/>
      <x:c r="O60" s="25"/>
    </x:row>
    <x:row r="61">
      <x:c r="A61" s="25"/>
      <x:c r="B61" s="25"/>
      <x:c r="C61" s="25"/>
      <x:c r="D61" s="25"/>
      <x:c r="E61" s="25"/>
      <x:c r="F61" s="25"/>
      <x:c r="G61" s="25"/>
      <x:c r="H61" s="25"/>
      <x:c r="I61" s="25"/>
      <x:c r="J61" s="25"/>
      <x:c r="K61" s="25"/>
      <x:c r="L61" s="25"/>
      <x:c r="M61" s="25"/>
      <x:c r="N61" s="25"/>
      <x:c r="O61" s="25"/>
    </x:row>
    <x:row r="62">
      <x:c r="A62" s="25"/>
      <x:c r="B62" s="25"/>
      <x:c r="C62" s="25"/>
      <x:c r="D62" s="25"/>
      <x:c r="E62" s="25"/>
      <x:c r="F62" s="25"/>
      <x:c r="G62" s="25"/>
      <x:c r="H62" s="25"/>
      <x:c r="I62" s="25"/>
      <x:c r="J62" s="25"/>
      <x:c r="K62" s="25"/>
      <x:c r="L62" s="25"/>
      <x:c r="M62" s="25"/>
      <x:c r="N62" s="25"/>
      <x:c r="O62" s="25"/>
    </x:row>
    <x:row r="63">
      <x:c r="A63" s="25"/>
      <x:c r="B63" s="25"/>
      <x:c r="C63" s="25"/>
      <x:c r="D63" s="25"/>
      <x:c r="E63" s="25"/>
      <x:c r="F63" s="25"/>
      <x:c r="G63" s="25"/>
      <x:c r="H63" s="25"/>
      <x:c r="I63" s="25"/>
      <x:c r="J63" s="25"/>
      <x:c r="K63" s="25"/>
      <x:c r="L63" s="25"/>
      <x:c r="M63" s="25"/>
      <x:c r="N63" s="25"/>
      <x:c r="O63" s="25"/>
    </x:row>
    <x:row r="64">
      <x:c r="A64" s="25"/>
      <x:c r="B64" s="25"/>
      <x:c r="C64" s="25"/>
      <x:c r="D64" s="25"/>
      <x:c r="E64" s="25"/>
      <x:c r="F64" s="25"/>
      <x:c r="G64" s="25"/>
      <x:c r="H64" s="25"/>
      <x:c r="I64" s="25"/>
      <x:c r="J64" s="25"/>
      <x:c r="K64" s="25"/>
      <x:c r="L64" s="25"/>
      <x:c r="M64" s="25"/>
      <x:c r="N64" s="25"/>
      <x:c r="O64" s="25"/>
    </x:row>
    <x:row r="65">
      <x:c r="A65" s="25"/>
      <x:c r="B65" s="25"/>
      <x:c r="C65" s="25"/>
      <x:c r="D65" s="25"/>
      <x:c r="E65" s="25"/>
      <x:c r="F65" s="25"/>
      <x:c r="G65" s="25"/>
      <x:c r="H65" s="25"/>
      <x:c r="I65" s="25"/>
      <x:c r="J65" s="25"/>
      <x:c r="K65" s="25"/>
      <x:c r="L65" s="25"/>
      <x:c r="M65" s="25"/>
      <x:c r="N65" s="25"/>
      <x:c r="O65" s="25"/>
    </x:row>
    <x:row r="66">
      <x:c r="A66" s="25"/>
      <x:c r="B66" s="25"/>
      <x:c r="C66" s="25"/>
      <x:c r="D66" s="25"/>
      <x:c r="E66" s="25"/>
      <x:c r="F66" s="25"/>
      <x:c r="G66" s="25"/>
      <x:c r="H66" s="25"/>
      <x:c r="I66" s="25"/>
      <x:c r="J66" s="25"/>
      <x:c r="K66" s="25"/>
      <x:c r="L66" s="25"/>
      <x:c r="M66" s="25"/>
      <x:c r="N66" s="25"/>
      <x:c r="O66" s="25"/>
    </x:row>
    <x:row r="67">
      <x:c r="A67" s="25"/>
      <x:c r="B67" s="25"/>
      <x:c r="C67" s="25"/>
      <x:c r="D67" s="25"/>
      <x:c r="E67" s="25"/>
      <x:c r="F67" s="25"/>
      <x:c r="G67" s="25"/>
      <x:c r="H67" s="25"/>
      <x:c r="I67" s="25"/>
      <x:c r="J67" s="25"/>
      <x:c r="K67" s="25"/>
      <x:c r="L67" s="25"/>
      <x:c r="M67" s="25"/>
      <x:c r="N67" s="25"/>
      <x:c r="O67" s="25"/>
    </x:row>
    <x:row r="68">
      <x:c r="A68" s="25"/>
      <x:c r="B68" s="25"/>
      <x:c r="C68" s="25"/>
      <x:c r="D68" s="25"/>
      <x:c r="E68" s="25"/>
      <x:c r="F68" s="25"/>
      <x:c r="G68" s="25"/>
      <x:c r="H68" s="25"/>
      <x:c r="I68" s="25"/>
      <x:c r="J68" s="25"/>
      <x:c r="K68" s="25"/>
      <x:c r="L68" s="25"/>
      <x:c r="M68" s="25"/>
      <x:c r="N68" s="25"/>
      <x:c r="O68" s="25"/>
    </x:row>
    <x:row r="69">
      <x:c r="A69" s="25"/>
      <x:c r="B69" s="25"/>
      <x:c r="C69" s="25"/>
      <x:c r="D69" s="25"/>
      <x:c r="E69" s="25"/>
      <x:c r="F69" s="25"/>
      <x:c r="G69" s="25"/>
      <x:c r="H69" s="25"/>
      <x:c r="I69" s="25"/>
      <x:c r="J69" s="25"/>
      <x:c r="K69" s="25"/>
      <x:c r="L69" s="25"/>
      <x:c r="M69" s="25"/>
      <x:c r="N69" s="25"/>
      <x:c r="O69" s="25"/>
    </x:row>
    <x:row r="70">
      <x:c r="A70" s="25"/>
      <x:c r="B70" s="25"/>
      <x:c r="C70" s="25"/>
      <x:c r="D70" s="25"/>
      <x:c r="E70" s="25"/>
      <x:c r="F70" s="25"/>
      <x:c r="G70" s="25"/>
      <x:c r="H70" s="25"/>
      <x:c r="I70" s="25"/>
      <x:c r="J70" s="25"/>
      <x:c r="K70" s="25"/>
      <x:c r="L70" s="25"/>
      <x:c r="M70" s="25"/>
      <x:c r="N70" s="25"/>
      <x:c r="O70" s="25"/>
    </x:row>
    <x:row r="71">
      <x:c r="A71" s="25"/>
      <x:c r="B71" s="25"/>
      <x:c r="C71" s="25"/>
      <x:c r="D71" s="25"/>
      <x:c r="E71" s="25"/>
      <x:c r="F71" s="25"/>
      <x:c r="G71" s="25"/>
      <x:c r="H71" s="25"/>
      <x:c r="I71" s="25"/>
      <x:c r="J71" s="25"/>
      <x:c r="K71" s="25"/>
      <x:c r="L71" s="25"/>
      <x:c r="M71" s="25"/>
      <x:c r="N71" s="25"/>
      <x:c r="O71" s="25"/>
    </x:row>
    <x:row r="72">
      <x:c r="A72" s="25"/>
      <x:c r="B72" s="25"/>
      <x:c r="C72" s="25"/>
      <x:c r="D72" s="25"/>
      <x:c r="E72" s="25"/>
      <x:c r="F72" s="25"/>
      <x:c r="G72" s="25"/>
      <x:c r="H72" s="25"/>
      <x:c r="I72" s="25"/>
      <x:c r="J72" s="25"/>
      <x:c r="K72" s="25"/>
      <x:c r="L72" s="25"/>
      <x:c r="M72" s="25"/>
      <x:c r="N72" s="25"/>
      <x:c r="O72" s="25"/>
    </x:row>
    <x:row r="73">
      <x:c r="A73" s="25"/>
      <x:c r="B73" s="25"/>
      <x:c r="C73" s="25"/>
      <x:c r="D73" s="25"/>
      <x:c r="E73" s="25"/>
      <x:c r="F73" s="25"/>
      <x:c r="G73" s="25"/>
      <x:c r="H73" s="25"/>
      <x:c r="I73" s="25"/>
      <x:c r="J73" s="25"/>
      <x:c r="K73" s="25"/>
      <x:c r="L73" s="25"/>
      <x:c r="M73" s="25"/>
      <x:c r="N73" s="25"/>
      <x:c r="O73" s="25"/>
    </x:row>
    <x:row r="74">
      <x:c r="A74" s="25"/>
      <x:c r="B74" s="25"/>
      <x:c r="C74" s="25"/>
      <x:c r="D74" s="25"/>
      <x:c r="E74" s="25"/>
      <x:c r="F74" s="25"/>
      <x:c r="G74" s="25"/>
      <x:c r="H74" s="25"/>
      <x:c r="I74" s="25"/>
      <x:c r="J74" s="25"/>
      <x:c r="K74" s="25"/>
      <x:c r="L74" s="25"/>
      <x:c r="M74" s="25"/>
      <x:c r="N74" s="25"/>
      <x:c r="O74" s="25"/>
    </x:row>
    <x:row r="75">
      <x:c r="A75" s="25"/>
      <x:c r="B75" s="25"/>
      <x:c r="C75" s="25"/>
      <x:c r="D75" s="25"/>
      <x:c r="E75" s="25"/>
      <x:c r="F75" s="25"/>
      <x:c r="G75" s="25"/>
      <x:c r="H75" s="25"/>
      <x:c r="I75" s="25"/>
      <x:c r="J75" s="25"/>
      <x:c r="K75" s="25"/>
      <x:c r="L75" s="25"/>
      <x:c r="M75" s="25"/>
      <x:c r="N75" s="25"/>
      <x:c r="O75" s="25"/>
    </x:row>
    <x:row r="76">
      <x:c r="A76" s="25"/>
      <x:c r="B76" s="25"/>
      <x:c r="C76" s="25"/>
      <x:c r="D76" s="25"/>
      <x:c r="E76" s="25"/>
      <x:c r="F76" s="25"/>
      <x:c r="G76" s="25"/>
      <x:c r="H76" s="25"/>
      <x:c r="I76" s="25"/>
      <x:c r="J76" s="25"/>
      <x:c r="K76" s="25"/>
      <x:c r="L76" s="25"/>
      <x:c r="M76" s="25"/>
      <x:c r="N76" s="25"/>
      <x:c r="O76" s="25"/>
    </x:row>
    <x:row r="77">
      <x:c r="A77" s="25"/>
      <x:c r="B77" s="25"/>
      <x:c r="C77" s="25"/>
      <x:c r="D77" s="25"/>
      <x:c r="E77" s="25"/>
      <x:c r="F77" s="25"/>
      <x:c r="G77" s="25"/>
      <x:c r="H77" s="25"/>
      <x:c r="I77" s="25"/>
      <x:c r="J77" s="25"/>
      <x:c r="K77" s="25"/>
      <x:c r="L77" s="25"/>
      <x:c r="M77" s="25"/>
      <x:c r="N77" s="25"/>
      <x:c r="O77" s="25"/>
    </x:row>
    <x:row r="78">
      <x:c r="A78" s="25"/>
      <x:c r="B78" s="25"/>
      <x:c r="C78" s="25"/>
      <x:c r="D78" s="25"/>
      <x:c r="E78" s="25"/>
      <x:c r="F78" s="25"/>
      <x:c r="G78" s="25"/>
      <x:c r="H78" s="25"/>
      <x:c r="I78" s="25"/>
      <x:c r="J78" s="25"/>
      <x:c r="K78" s="25"/>
      <x:c r="L78" s="25"/>
      <x:c r="M78" s="25"/>
      <x:c r="N78" s="25"/>
      <x:c r="O78" s="25"/>
    </x:row>
    <x:row r="79">
      <x:c r="A79" s="25"/>
      <x:c r="B79" s="25"/>
      <x:c r="C79" s="25"/>
      <x:c r="D79" s="25"/>
      <x:c r="E79" s="25"/>
      <x:c r="F79" s="25"/>
      <x:c r="G79" s="25"/>
      <x:c r="H79" s="25"/>
      <x:c r="I79" s="25"/>
      <x:c r="J79" s="25"/>
      <x:c r="K79" s="25"/>
      <x:c r="L79" s="25"/>
      <x:c r="M79" s="25"/>
      <x:c r="N79" s="25"/>
      <x:c r="O79" s="25"/>
    </x:row>
    <x:row r="80">
      <x:c r="A80" s="25"/>
      <x:c r="B80" s="25"/>
      <x:c r="C80" s="25"/>
      <x:c r="D80" s="25"/>
      <x:c r="E80" s="25"/>
      <x:c r="F80" s="25"/>
      <x:c r="G80" s="25"/>
      <x:c r="H80" s="25"/>
      <x:c r="I80" s="25"/>
      <x:c r="J80" s="25"/>
      <x:c r="K80" s="25"/>
      <x:c r="L80" s="25"/>
      <x:c r="M80" s="25"/>
      <x:c r="N80" s="25"/>
      <x:c r="O80" s="25"/>
    </x:row>
    <x:row r="81">
      <x:c r="A81" s="25"/>
      <x:c r="B81" s="25"/>
      <x:c r="C81" s="25"/>
      <x:c r="D81" s="25"/>
      <x:c r="E81" s="25"/>
      <x:c r="F81" s="25"/>
      <x:c r="G81" s="25"/>
      <x:c r="H81" s="25"/>
      <x:c r="I81" s="25"/>
      <x:c r="J81" s="25"/>
      <x:c r="K81" s="25"/>
      <x:c r="L81" s="25"/>
      <x:c r="M81" s="25"/>
      <x:c r="N81" s="25"/>
      <x:c r="O81" s="25"/>
    </x:row>
  </x:sheetData>
  <x:mergeCells>
    <x:mergeCell ref="A27:I27"/>
    <x:mergeCell ref="A29:I29"/>
    <x:mergeCell ref="A31:I31"/>
    <x:mergeCell ref="A33:I33"/>
    <x:mergeCell ref="A35:I35"/>
    <x:mergeCell ref="A37:I37"/>
    <x:mergeCell ref="A2:I2"/>
    <x:mergeCell ref="A4:I4"/>
    <x:mergeCell ref="B24:I24"/>
  </x:mergeCells>
  <x:conditionalFormatting sqref="B19:B23">
    <x:cfRule type="cellIs" dxfId="5" priority="1" operator="greaterThan">
      <x:formula>0</x:formula>
    </x:cfRule>
  </x:conditionalFormatting>
  <x:pageMargins left="0.7" right="0.7" top="0.75" bottom="0.75" header="0.3" footer="0.3"/>
</x:worksheet>
</file>

<file path=xl/worksheets/sheet2.xml><?xml version="1.0" encoding="utf-8"?>
<x:worksheet xmlns:r="http://schemas.openxmlformats.org/officeDocument/2006/relationships" xmlns:x="http://schemas.openxmlformats.org/spreadsheetml/2006/main">
  <x:sheetViews>
    <x:sheetView showGridLines="0" workbookViewId="0" rightToLeft="1">
      <x:pane xSplit="1" ySplit="5" topLeftCell="B6" activePane="bottomRight" state="frozen"/>
    </x:sheetView>
  </x:sheetViews>
  <x:sheetFormatPr defaultRowHeight="15"/>
  <x:cols>
    <x:col min="1" max="1" width="17" hidden="0" customWidth="1"/>
    <x:col min="2" max="2" width="30" hidden="0" customWidth="1"/>
    <x:col min="3" max="3" width="10" hidden="0" customWidth="1"/>
    <x:col min="4" max="4" width="22" hidden="0" customWidth="1"/>
    <x:col min="5" max="5" width="26" hidden="0" customWidth="1"/>
    <x:col min="6" max="6" width="19" hidden="0" customWidth="1"/>
    <x:col min="7" max="7" width="55" hidden="0" customWidth="1"/>
    <x:col min="8" max="8" width="42" hidden="0" customWidth="1"/>
    <x:col min="9" max="9" width="22" hidden="0" customWidth="1"/>
    <x:col min="10" max="10" width="45" hidden="0" customWidth="1"/>
    <x:col min="11" max="11" width="17" hidden="0" customWidth="1"/>
    <x:col min="12" max="12" width="25" hidden="0" customWidth="1"/>
    <x:col min="13" max="13" width="40" hidden="0" customWidth="1"/>
    <x:col min="14" max="14" width="22" hidden="0" customWidth="1"/>
    <x:col min="15" max="15" width="31" hidden="0" customWidth="1"/>
  </x:cols>
  <x:sheetData>
    <x:row r="1">
      <x:c r="A1" s="25"/>
      <x:c r="B1" s="25"/>
      <x:c r="C1" s="25"/>
      <x:c r="D1" s="25"/>
      <x:c r="E1" s="25"/>
      <x:c r="F1" s="25"/>
      <x:c r="G1" s="25"/>
      <x:c r="H1" s="25"/>
      <x:c r="I1" s="25"/>
      <x:c r="J1" s="25"/>
      <x:c r="K1" s="25"/>
      <x:c r="L1" s="25"/>
      <x:c r="M1" s="25"/>
      <x:c r="N1" s="25"/>
      <x:c r="O1" s="25"/>
    </x:row>
    <x:row r="2" ht="23" customHeight="1">
      <x:c r="A2" s="26" t="str">
        <x:v>نتائج اختبارات الموارد البشرية</x:v>
      </x:c>
      <x:c r="B2" s="25"/>
      <x:c r="C2" s="25"/>
      <x:c r="D2" s="25"/>
      <x:c r="E2" s="25"/>
      <x:c r="F2" s="25"/>
      <x:c r="G2" s="25"/>
      <x:c r="H2" s="25"/>
      <x:c r="I2" s="25"/>
      <x:c r="J2" s="25"/>
      <x:c r="K2" s="25"/>
      <x:c r="L2" s="25"/>
      <x:c r="M2" s="25"/>
      <x:c r="N2" s="25"/>
      <x:c r="O2" s="25"/>
    </x:row>
    <x:row r="3">
      <x:c r="A3" s="25"/>
      <x:c r="B3" s="25"/>
      <x:c r="C3" s="25"/>
      <x:c r="D3" s="25"/>
      <x:c r="E3" s="25"/>
      <x:c r="F3" s="25"/>
      <x:c r="G3" s="25"/>
      <x:c r="H3" s="25"/>
      <x:c r="I3" s="25"/>
      <x:c r="J3" s="25"/>
      <x:c r="K3" s="25"/>
      <x:c r="L3" s="25"/>
      <x:c r="M3" s="25"/>
      <x:c r="N3" s="25"/>
      <x:c r="O3" s="25"/>
    </x:row>
    <x:row r="4">
      <x:c r="A4" s="25"/>
      <x:c r="B4" s="25"/>
      <x:c r="C4" s="25"/>
      <x:c r="D4" s="25"/>
      <x:c r="E4" s="25"/>
      <x:c r="F4" s="25"/>
      <x:c r="G4" s="25"/>
      <x:c r="H4" s="25"/>
      <x:c r="I4" s="25"/>
      <x:c r="J4" s="25"/>
      <x:c r="K4" s="25"/>
      <x:c r="L4" s="25"/>
      <x:c r="M4" s="25"/>
      <x:c r="N4" s="25"/>
      <x:c r="O4" s="25"/>
    </x:row>
    <x:row r="5" ht="48" customHeight="1">
      <x:c r="A5" s="27" t="str">
        <x:v>معرّف الاختبار</x:v>
      </x:c>
      <x:c r="B5" s="27" t="str">
        <x:v>مجال العمل</x:v>
      </x:c>
      <x:c r="C5" s="27" t="str">
        <x:v>الأولوية</x:v>
      </x:c>
      <x:c r="D5" s="27" t="str">
        <x:v>المختبِر المكلّف</x:v>
      </x:c>
      <x:c r="E5" s="27" t="str">
        <x:v>دور الاختبار / نطاق الصلاحية</x:v>
      </x:c>
      <x:c r="F5" s="27" t="str">
        <x:v>الحالة</x:v>
      </x:c>
      <x:c r="G5" s="27" t="str">
        <x:v>النتيجة الفعلية</x:v>
      </x:c>
      <x:c r="H5" s="27" t="str">
        <x:v>موقع الأدلة / المعرّفات</x:v>
      </x:c>
      <x:c r="I5" s="27" t="str">
        <x:v>معرّفات الملاحظات / الفجوات</x:v>
      </x:c>
      <x:c r="J5" s="27" t="str">
        <x:v>نتيجة إعادة الاختبار / الأدلة</x:v>
      </x:c>
      <x:c r="K5" s="27" t="str">
        <x:v>تاريخ التنفيذ</x:v>
      </x:c>
      <x:c r="L5" s="27" t="str">
        <x:v>الإصدار / دورة الاختبار</x:v>
      </x:c>
      <x:c r="M5" s="27" t="str">
        <x:v>مسؤول عدم الانطباق / السبب</x:v>
      </x:c>
      <x:c r="N5" s="27" t="str">
        <x:v>المراجع</x:v>
      </x:c>
      <x:c r="O5" s="27" t="str">
        <x:v>التحقق من الأدلة</x:v>
      </x:c>
    </x:row>
    <x:row r="6" ht="48" customHeight="1">
      <x:c r="A6" s="28" t="str">
        <x:v>HR-01-P</x:v>
      </x:c>
      <x:c r="B6" s="28" t="str">
        <x:v>شؤون الموظفين وإدارة بياناتهم</x:v>
      </x:c>
      <x:c r="C6" s="28" t="str">
        <x:v>P1</x:v>
      </x:c>
      <x:c r="D6" s="29" t="str"/>
      <x:c r="E6" s="29" t="str"/>
      <x:c r="F6" s="29" t="str">
        <x:v>لم يُنفذ</x:v>
      </x:c>
      <x:c r="G6" s="29" t="str"/>
      <x:c r="H6" s="29" t="str"/>
      <x:c r="I6" s="29" t="str"/>
      <x:c r="J6" s="29" t="str"/>
      <x:c r="K6" s="30" t="str"/>
      <x:c r="L6" s="29" t="str"/>
      <x:c r="M6" s="29" t="str"/>
      <x:c r="N6" s="29" t="str"/>
      <x:c r="O6" s="28" t="str">
        <x:f>IF(F6="لم يُنفذ","لم يُنفذ",IF(F6="غير منطبق",IF(AND(M6&lt;&gt;"",N6&lt;&gt;""),"مراجعة قرار الاستبعاد","اعتماد عدم الانطباق مفقود"),IF(AND(D6&lt;&gt;"",E6&lt;&gt;"",G6&lt;&gt;"",H6&lt;&gt;"",K6&lt;&gt;"",L6&lt;&gt;"",N6&lt;&gt;"",OR(F6="ناجح",I6&lt;&gt;"")),"موثق","أدلة أو ملاحظة مفقودة")))</x:f>
        <x:v>لم يُنفذ</x:v>
      </x:c>
    </x:row>
    <x:row r="7" ht="48" customHeight="1">
      <x:c r="A7" s="28" t="str">
        <x:v>HR-01-C</x:v>
      </x:c>
      <x:c r="B7" s="28" t="str">
        <x:v>شؤون الموظفين وإدارة بياناتهم</x:v>
      </x:c>
      <x:c r="C7" s="28" t="str">
        <x:v>P1</x:v>
      </x:c>
      <x:c r="D7" s="29" t="str"/>
      <x:c r="E7" s="29" t="str"/>
      <x:c r="F7" s="29" t="str">
        <x:v>لم يُنفذ</x:v>
      </x:c>
      <x:c r="G7" s="29" t="str"/>
      <x:c r="H7" s="29" t="str"/>
      <x:c r="I7" s="29" t="str"/>
      <x:c r="J7" s="29" t="str"/>
      <x:c r="K7" s="30" t="str"/>
      <x:c r="L7" s="29" t="str"/>
      <x:c r="M7" s="29" t="str"/>
      <x:c r="N7" s="29" t="str"/>
      <x:c r="O7" s="28" t="str">
        <x:f>IF(F7="لم يُنفذ","لم يُنفذ",IF(F7="غير منطبق",IF(AND(M7&lt;&gt;"",N7&lt;&gt;""),"مراجعة قرار الاستبعاد","اعتماد عدم الانطباق مفقود"),IF(AND(D7&lt;&gt;"",E7&lt;&gt;"",G7&lt;&gt;"",H7&lt;&gt;"",K7&lt;&gt;"",L7&lt;&gt;"",N7&lt;&gt;"",OR(F7="ناجح",I7&lt;&gt;"")),"موثق","أدلة أو ملاحظة مفقودة")))</x:f>
        <x:v>لم يُنفذ</x:v>
      </x:c>
    </x:row>
    <x:row r="8" ht="48" customHeight="1">
      <x:c r="A8" s="28" t="str">
        <x:v>HR-02-P</x:v>
      </x:c>
      <x:c r="B8" s="28" t="str">
        <x:v>شؤون الموظفين وإدارة بياناتهم</x:v>
      </x:c>
      <x:c r="C8" s="28" t="str">
        <x:v>P1</x:v>
      </x:c>
      <x:c r="D8" s="29" t="str"/>
      <x:c r="E8" s="29" t="str"/>
      <x:c r="F8" s="29" t="str">
        <x:v>لم يُنفذ</x:v>
      </x:c>
      <x:c r="G8" s="29" t="str"/>
      <x:c r="H8" s="29" t="str"/>
      <x:c r="I8" s="29" t="str"/>
      <x:c r="J8" s="29" t="str"/>
      <x:c r="K8" s="30" t="str"/>
      <x:c r="L8" s="29" t="str"/>
      <x:c r="M8" s="29" t="str"/>
      <x:c r="N8" s="29" t="str"/>
      <x:c r="O8" s="28" t="str">
        <x:f>IF(F8="لم يُنفذ","لم يُنفذ",IF(F8="غير منطبق",IF(AND(M8&lt;&gt;"",N8&lt;&gt;""),"مراجعة قرار الاستبعاد","اعتماد عدم الانطباق مفقود"),IF(AND(D8&lt;&gt;"",E8&lt;&gt;"",G8&lt;&gt;"",H8&lt;&gt;"",K8&lt;&gt;"",L8&lt;&gt;"",N8&lt;&gt;"",OR(F8="ناجح",I8&lt;&gt;"")),"موثق","أدلة أو ملاحظة مفقودة")))</x:f>
        <x:v>لم يُنفذ</x:v>
      </x:c>
    </x:row>
    <x:row r="9" ht="48" customHeight="1">
      <x:c r="A9" s="28" t="str">
        <x:v>HR-02-C</x:v>
      </x:c>
      <x:c r="B9" s="28" t="str">
        <x:v>شؤون الموظفين وإدارة بياناتهم</x:v>
      </x:c>
      <x:c r="C9" s="28" t="str">
        <x:v>P1</x:v>
      </x:c>
      <x:c r="D9" s="29" t="str"/>
      <x:c r="E9" s="29" t="str"/>
      <x:c r="F9" s="29" t="str">
        <x:v>لم يُنفذ</x:v>
      </x:c>
      <x:c r="G9" s="29" t="str"/>
      <x:c r="H9" s="29" t="str"/>
      <x:c r="I9" s="29" t="str"/>
      <x:c r="J9" s="29" t="str"/>
      <x:c r="K9" s="30" t="str"/>
      <x:c r="L9" s="29" t="str"/>
      <x:c r="M9" s="29" t="str"/>
      <x:c r="N9" s="29" t="str"/>
      <x:c r="O9" s="28" t="str">
        <x:f>IF(F9="لم يُنفذ","لم يُنفذ",IF(F9="غير منطبق",IF(AND(M9&lt;&gt;"",N9&lt;&gt;""),"مراجعة قرار الاستبعاد","اعتماد عدم الانطباق مفقود"),IF(AND(D9&lt;&gt;"",E9&lt;&gt;"",G9&lt;&gt;"",H9&lt;&gt;"",K9&lt;&gt;"",L9&lt;&gt;"",N9&lt;&gt;"",OR(F9="ناجح",I9&lt;&gt;"")),"موثق","أدلة أو ملاحظة مفقودة")))</x:f>
        <x:v>لم يُنفذ</x:v>
      </x:c>
    </x:row>
    <x:row r="10" ht="48" customHeight="1">
      <x:c r="A10" s="28" t="str">
        <x:v>HR-03-P</x:v>
      </x:c>
      <x:c r="B10" s="28" t="str">
        <x:v>شؤون الموظفين وإدارة بياناتهم</x:v>
      </x:c>
      <x:c r="C10" s="28" t="str">
        <x:v>P1</x:v>
      </x:c>
      <x:c r="D10" s="29" t="str"/>
      <x:c r="E10" s="29" t="str"/>
      <x:c r="F10" s="29" t="str">
        <x:v>لم يُنفذ</x:v>
      </x:c>
      <x:c r="G10" s="29" t="str"/>
      <x:c r="H10" s="29" t="str"/>
      <x:c r="I10" s="29" t="str"/>
      <x:c r="J10" s="29" t="str"/>
      <x:c r="K10" s="30" t="str"/>
      <x:c r="L10" s="29" t="str"/>
      <x:c r="M10" s="29" t="str"/>
      <x:c r="N10" s="29" t="str"/>
      <x:c r="O10" s="28" t="str">
        <x:f>IF(F10="لم يُنفذ","لم يُنفذ",IF(F10="غير منطبق",IF(AND(M10&lt;&gt;"",N10&lt;&gt;""),"مراجعة قرار الاستبعاد","اعتماد عدم الانطباق مفقود"),IF(AND(D10&lt;&gt;"",E10&lt;&gt;"",G10&lt;&gt;"",H10&lt;&gt;"",K10&lt;&gt;"",L10&lt;&gt;"",N10&lt;&gt;"",OR(F10="ناجح",I10&lt;&gt;"")),"موثق","أدلة أو ملاحظة مفقودة")))</x:f>
        <x:v>لم يُنفذ</x:v>
      </x:c>
    </x:row>
    <x:row r="11" ht="48" customHeight="1">
      <x:c r="A11" s="28" t="str">
        <x:v>HR-03-C</x:v>
      </x:c>
      <x:c r="B11" s="28" t="str">
        <x:v>شؤون الموظفين وإدارة بياناتهم</x:v>
      </x:c>
      <x:c r="C11" s="28" t="str">
        <x:v>P1</x:v>
      </x:c>
      <x:c r="D11" s="29" t="str"/>
      <x:c r="E11" s="29" t="str"/>
      <x:c r="F11" s="29" t="str">
        <x:v>لم يُنفذ</x:v>
      </x:c>
      <x:c r="G11" s="29" t="str"/>
      <x:c r="H11" s="29" t="str"/>
      <x:c r="I11" s="29" t="str"/>
      <x:c r="J11" s="29" t="str"/>
      <x:c r="K11" s="30" t="str"/>
      <x:c r="L11" s="29" t="str"/>
      <x:c r="M11" s="29" t="str"/>
      <x:c r="N11" s="29" t="str"/>
      <x:c r="O11" s="28" t="str">
        <x:f>IF(F11="لم يُنفذ","لم يُنفذ",IF(F11="غير منطبق",IF(AND(M11&lt;&gt;"",N11&lt;&gt;""),"مراجعة قرار الاستبعاد","اعتماد عدم الانطباق مفقود"),IF(AND(D11&lt;&gt;"",E11&lt;&gt;"",G11&lt;&gt;"",H11&lt;&gt;"",K11&lt;&gt;"",L11&lt;&gt;"",N11&lt;&gt;"",OR(F11="ناجح",I11&lt;&gt;"")),"موثق","أدلة أو ملاحظة مفقودة")))</x:f>
        <x:v>لم يُنفذ</x:v>
      </x:c>
    </x:row>
    <x:row r="12" ht="48" customHeight="1">
      <x:c r="A12" s="28" t="str">
        <x:v>HR-04-P</x:v>
      </x:c>
      <x:c r="B12" s="28" t="str">
        <x:v>شؤون الموظفين وإدارة بياناتهم</x:v>
      </x:c>
      <x:c r="C12" s="28" t="str">
        <x:v>P0</x:v>
      </x:c>
      <x:c r="D12" s="29" t="str"/>
      <x:c r="E12" s="29" t="str"/>
      <x:c r="F12" s="29" t="str">
        <x:v>لم يُنفذ</x:v>
      </x:c>
      <x:c r="G12" s="29" t="str"/>
      <x:c r="H12" s="29" t="str"/>
      <x:c r="I12" s="29" t="str"/>
      <x:c r="J12" s="29" t="str"/>
      <x:c r="K12" s="30" t="str"/>
      <x:c r="L12" s="29" t="str"/>
      <x:c r="M12" s="29" t="str"/>
      <x:c r="N12" s="29" t="str"/>
      <x:c r="O12" s="28" t="str">
        <x:f>IF(F12="لم يُنفذ","لم يُنفذ",IF(F12="غير منطبق",IF(AND(M12&lt;&gt;"",N12&lt;&gt;""),"مراجعة قرار الاستبعاد","اعتماد عدم الانطباق مفقود"),IF(AND(D12&lt;&gt;"",E12&lt;&gt;"",G12&lt;&gt;"",H12&lt;&gt;"",K12&lt;&gt;"",L12&lt;&gt;"",N12&lt;&gt;"",OR(F12="ناجح",I12&lt;&gt;"")),"موثق","أدلة أو ملاحظة مفقودة")))</x:f>
        <x:v>لم يُنفذ</x:v>
      </x:c>
    </x:row>
    <x:row r="13" ht="48" customHeight="1">
      <x:c r="A13" s="28" t="str">
        <x:v>HR-04-C</x:v>
      </x:c>
      <x:c r="B13" s="28" t="str">
        <x:v>شؤون الموظفين وإدارة بياناتهم</x:v>
      </x:c>
      <x:c r="C13" s="28" t="str">
        <x:v>P0</x:v>
      </x:c>
      <x:c r="D13" s="29" t="str"/>
      <x:c r="E13" s="29" t="str"/>
      <x:c r="F13" s="29" t="str">
        <x:v>لم يُنفذ</x:v>
      </x:c>
      <x:c r="G13" s="29" t="str"/>
      <x:c r="H13" s="29" t="str"/>
      <x:c r="I13" s="29" t="str"/>
      <x:c r="J13" s="29" t="str"/>
      <x:c r="K13" s="30" t="str"/>
      <x:c r="L13" s="29" t="str"/>
      <x:c r="M13" s="29" t="str"/>
      <x:c r="N13" s="29" t="str"/>
      <x:c r="O13" s="28" t="str">
        <x:f>IF(F13="لم يُنفذ","لم يُنفذ",IF(F13="غير منطبق",IF(AND(M13&lt;&gt;"",N13&lt;&gt;""),"مراجعة قرار الاستبعاد","اعتماد عدم الانطباق مفقود"),IF(AND(D13&lt;&gt;"",E13&lt;&gt;"",G13&lt;&gt;"",H13&lt;&gt;"",K13&lt;&gt;"",L13&lt;&gt;"",N13&lt;&gt;"",OR(F13="ناجح",I13&lt;&gt;"")),"موثق","أدلة أو ملاحظة مفقودة")))</x:f>
        <x:v>لم يُنفذ</x:v>
      </x:c>
    </x:row>
    <x:row r="14" ht="48" customHeight="1">
      <x:c r="A14" s="28" t="str">
        <x:v>HR-05-P</x:v>
      </x:c>
      <x:c r="B14" s="28" t="str">
        <x:v>شؤون الموظفين وإدارة بياناتهم</x:v>
      </x:c>
      <x:c r="C14" s="28" t="str">
        <x:v>P0</x:v>
      </x:c>
      <x:c r="D14" s="29" t="str"/>
      <x:c r="E14" s="29" t="str"/>
      <x:c r="F14" s="29" t="str">
        <x:v>لم يُنفذ</x:v>
      </x:c>
      <x:c r="G14" s="29" t="str"/>
      <x:c r="H14" s="29" t="str"/>
      <x:c r="I14" s="29" t="str"/>
      <x:c r="J14" s="29" t="str"/>
      <x:c r="K14" s="30" t="str"/>
      <x:c r="L14" s="29" t="str"/>
      <x:c r="M14" s="29" t="str"/>
      <x:c r="N14" s="29" t="str"/>
      <x:c r="O14" s="28" t="str">
        <x:f>IF(F14="لم يُنفذ","لم يُنفذ",IF(F14="غير منطبق",IF(AND(M14&lt;&gt;"",N14&lt;&gt;""),"مراجعة قرار الاستبعاد","اعتماد عدم الانطباق مفقود"),IF(AND(D14&lt;&gt;"",E14&lt;&gt;"",G14&lt;&gt;"",H14&lt;&gt;"",K14&lt;&gt;"",L14&lt;&gt;"",N14&lt;&gt;"",OR(F14="ناجح",I14&lt;&gt;"")),"موثق","أدلة أو ملاحظة مفقودة")))</x:f>
        <x:v>لم يُنفذ</x:v>
      </x:c>
    </x:row>
    <x:row r="15" ht="48" customHeight="1">
      <x:c r="A15" s="28" t="str">
        <x:v>HR-05-C</x:v>
      </x:c>
      <x:c r="B15" s="28" t="str">
        <x:v>شؤون الموظفين وإدارة بياناتهم</x:v>
      </x:c>
      <x:c r="C15" s="28" t="str">
        <x:v>P0</x:v>
      </x:c>
      <x:c r="D15" s="29" t="str"/>
      <x:c r="E15" s="29" t="str"/>
      <x:c r="F15" s="29" t="str">
        <x:v>لم يُنفذ</x:v>
      </x:c>
      <x:c r="G15" s="29" t="str"/>
      <x:c r="H15" s="29" t="str"/>
      <x:c r="I15" s="29" t="str"/>
      <x:c r="J15" s="29" t="str"/>
      <x:c r="K15" s="30" t="str"/>
      <x:c r="L15" s="29" t="str"/>
      <x:c r="M15" s="29" t="str"/>
      <x:c r="N15" s="29" t="str"/>
      <x:c r="O15" s="28" t="str">
        <x:f>IF(F15="لم يُنفذ","لم يُنفذ",IF(F15="غير منطبق",IF(AND(M15&lt;&gt;"",N15&lt;&gt;""),"مراجعة قرار الاستبعاد","اعتماد عدم الانطباق مفقود"),IF(AND(D15&lt;&gt;"",E15&lt;&gt;"",G15&lt;&gt;"",H15&lt;&gt;"",K15&lt;&gt;"",L15&lt;&gt;"",N15&lt;&gt;"",OR(F15="ناجح",I15&lt;&gt;"")),"موثق","أدلة أو ملاحظة مفقودة")))</x:f>
        <x:v>لم يُنفذ</x:v>
      </x:c>
    </x:row>
    <x:row r="16" ht="48" customHeight="1">
      <x:c r="A16" s="28" t="str">
        <x:v>REC-01-P</x:v>
      </x:c>
      <x:c r="B16" s="28" t="str">
        <x:v>الاستقطاب والتوظيف</x:v>
      </x:c>
      <x:c r="C16" s="28" t="str">
        <x:v>P1</x:v>
      </x:c>
      <x:c r="D16" s="29" t="str"/>
      <x:c r="E16" s="29" t="str"/>
      <x:c r="F16" s="29" t="str">
        <x:v>لم يُنفذ</x:v>
      </x:c>
      <x:c r="G16" s="29" t="str"/>
      <x:c r="H16" s="29" t="str"/>
      <x:c r="I16" s="29" t="str"/>
      <x:c r="J16" s="29" t="str"/>
      <x:c r="K16" s="30" t="str"/>
      <x:c r="L16" s="29" t="str"/>
      <x:c r="M16" s="29" t="str"/>
      <x:c r="N16" s="29" t="str"/>
      <x:c r="O16" s="28" t="str">
        <x:f>IF(F16="لم يُنفذ","لم يُنفذ",IF(F16="غير منطبق",IF(AND(M16&lt;&gt;"",N16&lt;&gt;""),"مراجعة قرار الاستبعاد","اعتماد عدم الانطباق مفقود"),IF(AND(D16&lt;&gt;"",E16&lt;&gt;"",G16&lt;&gt;"",H16&lt;&gt;"",K16&lt;&gt;"",L16&lt;&gt;"",N16&lt;&gt;"",OR(F16="ناجح",I16&lt;&gt;"")),"موثق","أدلة أو ملاحظة مفقودة")))</x:f>
        <x:v>لم يُنفذ</x:v>
      </x:c>
    </x:row>
    <x:row r="17" ht="48" customHeight="1">
      <x:c r="A17" s="28" t="str">
        <x:v>REC-01-C</x:v>
      </x:c>
      <x:c r="B17" s="28" t="str">
        <x:v>الاستقطاب والتوظيف</x:v>
      </x:c>
      <x:c r="C17" s="28" t="str">
        <x:v>P1</x:v>
      </x:c>
      <x:c r="D17" s="29" t="str"/>
      <x:c r="E17" s="29" t="str"/>
      <x:c r="F17" s="29" t="str">
        <x:v>لم يُنفذ</x:v>
      </x:c>
      <x:c r="G17" s="29" t="str"/>
      <x:c r="H17" s="29" t="str"/>
      <x:c r="I17" s="29" t="str"/>
      <x:c r="J17" s="29" t="str"/>
      <x:c r="K17" s="30" t="str"/>
      <x:c r="L17" s="29" t="str"/>
      <x:c r="M17" s="29" t="str"/>
      <x:c r="N17" s="29" t="str"/>
      <x:c r="O17" s="28" t="str">
        <x:f>IF(F17="لم يُنفذ","لم يُنفذ",IF(F17="غير منطبق",IF(AND(M17&lt;&gt;"",N17&lt;&gt;""),"مراجعة قرار الاستبعاد","اعتماد عدم الانطباق مفقود"),IF(AND(D17&lt;&gt;"",E17&lt;&gt;"",G17&lt;&gt;"",H17&lt;&gt;"",K17&lt;&gt;"",L17&lt;&gt;"",N17&lt;&gt;"",OR(F17="ناجح",I17&lt;&gt;"")),"موثق","أدلة أو ملاحظة مفقودة")))</x:f>
        <x:v>لم يُنفذ</x:v>
      </x:c>
    </x:row>
    <x:row r="18" ht="48" customHeight="1">
      <x:c r="A18" s="28" t="str">
        <x:v>REC-02-P</x:v>
      </x:c>
      <x:c r="B18" s="28" t="str">
        <x:v>الاستقطاب والتوظيف</x:v>
      </x:c>
      <x:c r="C18" s="28" t="str">
        <x:v>P1</x:v>
      </x:c>
      <x:c r="D18" s="29" t="str"/>
      <x:c r="E18" s="29" t="str"/>
      <x:c r="F18" s="29" t="str">
        <x:v>لم يُنفذ</x:v>
      </x:c>
      <x:c r="G18" s="29" t="str"/>
      <x:c r="H18" s="29" t="str"/>
      <x:c r="I18" s="29" t="str"/>
      <x:c r="J18" s="29" t="str"/>
      <x:c r="K18" s="30" t="str"/>
      <x:c r="L18" s="29" t="str"/>
      <x:c r="M18" s="29" t="str"/>
      <x:c r="N18" s="29" t="str"/>
      <x:c r="O18" s="28" t="str">
        <x:f>IF(F18="لم يُنفذ","لم يُنفذ",IF(F18="غير منطبق",IF(AND(M18&lt;&gt;"",N18&lt;&gt;""),"مراجعة قرار الاستبعاد","اعتماد عدم الانطباق مفقود"),IF(AND(D18&lt;&gt;"",E18&lt;&gt;"",G18&lt;&gt;"",H18&lt;&gt;"",K18&lt;&gt;"",L18&lt;&gt;"",N18&lt;&gt;"",OR(F18="ناجح",I18&lt;&gt;"")),"موثق","أدلة أو ملاحظة مفقودة")))</x:f>
        <x:v>لم يُنفذ</x:v>
      </x:c>
    </x:row>
    <x:row r="19" ht="48" customHeight="1">
      <x:c r="A19" s="28" t="str">
        <x:v>REC-02-C</x:v>
      </x:c>
      <x:c r="B19" s="28" t="str">
        <x:v>الاستقطاب والتوظيف</x:v>
      </x:c>
      <x:c r="C19" s="28" t="str">
        <x:v>P1</x:v>
      </x:c>
      <x:c r="D19" s="29" t="str"/>
      <x:c r="E19" s="29" t="str"/>
      <x:c r="F19" s="29" t="str">
        <x:v>لم يُنفذ</x:v>
      </x:c>
      <x:c r="G19" s="29" t="str"/>
      <x:c r="H19" s="29" t="str"/>
      <x:c r="I19" s="29" t="str"/>
      <x:c r="J19" s="29" t="str"/>
      <x:c r="K19" s="30" t="str"/>
      <x:c r="L19" s="29" t="str"/>
      <x:c r="M19" s="29" t="str"/>
      <x:c r="N19" s="29" t="str"/>
      <x:c r="O19" s="28" t="str">
        <x:f>IF(F19="لم يُنفذ","لم يُنفذ",IF(F19="غير منطبق",IF(AND(M19&lt;&gt;"",N19&lt;&gt;""),"مراجعة قرار الاستبعاد","اعتماد عدم الانطباق مفقود"),IF(AND(D19&lt;&gt;"",E19&lt;&gt;"",G19&lt;&gt;"",H19&lt;&gt;"",K19&lt;&gt;"",L19&lt;&gt;"",N19&lt;&gt;"",OR(F19="ناجح",I19&lt;&gt;"")),"موثق","أدلة أو ملاحظة مفقودة")))</x:f>
        <x:v>لم يُنفذ</x:v>
      </x:c>
    </x:row>
    <x:row r="20" ht="48" customHeight="1">
      <x:c r="A20" s="28" t="str">
        <x:v>REC-03-P</x:v>
      </x:c>
      <x:c r="B20" s="28" t="str">
        <x:v>الاستقطاب والتوظيف</x:v>
      </x:c>
      <x:c r="C20" s="28" t="str">
        <x:v>P1</x:v>
      </x:c>
      <x:c r="D20" s="29" t="str"/>
      <x:c r="E20" s="29" t="str"/>
      <x:c r="F20" s="29" t="str">
        <x:v>لم يُنفذ</x:v>
      </x:c>
      <x:c r="G20" s="29" t="str"/>
      <x:c r="H20" s="29" t="str"/>
      <x:c r="I20" s="29" t="str"/>
      <x:c r="J20" s="29" t="str"/>
      <x:c r="K20" s="30" t="str"/>
      <x:c r="L20" s="29" t="str"/>
      <x:c r="M20" s="29" t="str"/>
      <x:c r="N20" s="29" t="str"/>
      <x:c r="O20" s="28" t="str">
        <x:f>IF(F20="لم يُنفذ","لم يُنفذ",IF(F20="غير منطبق",IF(AND(M20&lt;&gt;"",N20&lt;&gt;""),"مراجعة قرار الاستبعاد","اعتماد عدم الانطباق مفقود"),IF(AND(D20&lt;&gt;"",E20&lt;&gt;"",G20&lt;&gt;"",H20&lt;&gt;"",K20&lt;&gt;"",L20&lt;&gt;"",N20&lt;&gt;"",OR(F20="ناجح",I20&lt;&gt;"")),"موثق","أدلة أو ملاحظة مفقودة")))</x:f>
        <x:v>لم يُنفذ</x:v>
      </x:c>
    </x:row>
    <x:row r="21" ht="48" customHeight="1">
      <x:c r="A21" s="28" t="str">
        <x:v>REC-03-C</x:v>
      </x:c>
      <x:c r="B21" s="28" t="str">
        <x:v>الاستقطاب والتوظيف</x:v>
      </x:c>
      <x:c r="C21" s="28" t="str">
        <x:v>P1</x:v>
      </x:c>
      <x:c r="D21" s="29" t="str"/>
      <x:c r="E21" s="29" t="str"/>
      <x:c r="F21" s="29" t="str">
        <x:v>لم يُنفذ</x:v>
      </x:c>
      <x:c r="G21" s="29" t="str"/>
      <x:c r="H21" s="29" t="str"/>
      <x:c r="I21" s="29" t="str"/>
      <x:c r="J21" s="29" t="str"/>
      <x:c r="K21" s="30" t="str"/>
      <x:c r="L21" s="29" t="str"/>
      <x:c r="M21" s="29" t="str"/>
      <x:c r="N21" s="29" t="str"/>
      <x:c r="O21" s="28" t="str">
        <x:f>IF(F21="لم يُنفذ","لم يُنفذ",IF(F21="غير منطبق",IF(AND(M21&lt;&gt;"",N21&lt;&gt;""),"مراجعة قرار الاستبعاد","اعتماد عدم الانطباق مفقود"),IF(AND(D21&lt;&gt;"",E21&lt;&gt;"",G21&lt;&gt;"",H21&lt;&gt;"",K21&lt;&gt;"",L21&lt;&gt;"",N21&lt;&gt;"",OR(F21="ناجح",I21&lt;&gt;"")),"موثق","أدلة أو ملاحظة مفقودة")))</x:f>
        <x:v>لم يُنفذ</x:v>
      </x:c>
    </x:row>
    <x:row r="22" ht="48" customHeight="1">
      <x:c r="A22" s="28" t="str">
        <x:v>REC-04-P</x:v>
      </x:c>
      <x:c r="B22" s="28" t="str">
        <x:v>الاستقطاب والتوظيف</x:v>
      </x:c>
      <x:c r="C22" s="28" t="str">
        <x:v>P0</x:v>
      </x:c>
      <x:c r="D22" s="29" t="str"/>
      <x:c r="E22" s="29" t="str"/>
      <x:c r="F22" s="29" t="str">
        <x:v>لم يُنفذ</x:v>
      </x:c>
      <x:c r="G22" s="29" t="str"/>
      <x:c r="H22" s="29" t="str"/>
      <x:c r="I22" s="29" t="str"/>
      <x:c r="J22" s="29" t="str"/>
      <x:c r="K22" s="30" t="str"/>
      <x:c r="L22" s="29" t="str"/>
      <x:c r="M22" s="29" t="str"/>
      <x:c r="N22" s="29" t="str"/>
      <x:c r="O22" s="28" t="str">
        <x:f>IF(F22="لم يُنفذ","لم يُنفذ",IF(F22="غير منطبق",IF(AND(M22&lt;&gt;"",N22&lt;&gt;""),"مراجعة قرار الاستبعاد","اعتماد عدم الانطباق مفقود"),IF(AND(D22&lt;&gt;"",E22&lt;&gt;"",G22&lt;&gt;"",H22&lt;&gt;"",K22&lt;&gt;"",L22&lt;&gt;"",N22&lt;&gt;"",OR(F22="ناجح",I22&lt;&gt;"")),"موثق","أدلة أو ملاحظة مفقودة")))</x:f>
        <x:v>لم يُنفذ</x:v>
      </x:c>
    </x:row>
    <x:row r="23" ht="48" customHeight="1">
      <x:c r="A23" s="28" t="str">
        <x:v>REC-04-C</x:v>
      </x:c>
      <x:c r="B23" s="28" t="str">
        <x:v>الاستقطاب والتوظيف</x:v>
      </x:c>
      <x:c r="C23" s="28" t="str">
        <x:v>P0</x:v>
      </x:c>
      <x:c r="D23" s="29" t="str"/>
      <x:c r="E23" s="29" t="str"/>
      <x:c r="F23" s="29" t="str">
        <x:v>لم يُنفذ</x:v>
      </x:c>
      <x:c r="G23" s="29" t="str"/>
      <x:c r="H23" s="29" t="str"/>
      <x:c r="I23" s="29" t="str"/>
      <x:c r="J23" s="29" t="str"/>
      <x:c r="K23" s="30" t="str"/>
      <x:c r="L23" s="29" t="str"/>
      <x:c r="M23" s="29" t="str"/>
      <x:c r="N23" s="29" t="str"/>
      <x:c r="O23" s="28" t="str">
        <x:f>IF(F23="لم يُنفذ","لم يُنفذ",IF(F23="غير منطبق",IF(AND(M23&lt;&gt;"",N23&lt;&gt;""),"مراجعة قرار الاستبعاد","اعتماد عدم الانطباق مفقود"),IF(AND(D23&lt;&gt;"",E23&lt;&gt;"",G23&lt;&gt;"",H23&lt;&gt;"",K23&lt;&gt;"",L23&lt;&gt;"",N23&lt;&gt;"",OR(F23="ناجح",I23&lt;&gt;"")),"موثق","أدلة أو ملاحظة مفقودة")))</x:f>
        <x:v>لم يُنفذ</x:v>
      </x:c>
    </x:row>
    <x:row r="24" ht="48" customHeight="1">
      <x:c r="A24" s="28" t="str">
        <x:v>ATT-01-P</x:v>
      </x:c>
      <x:c r="B24" s="28" t="str">
        <x:v>الحضور وجدولة القوى العاملة</x:v>
      </x:c>
      <x:c r="C24" s="28" t="str">
        <x:v>P1</x:v>
      </x:c>
      <x:c r="D24" s="29" t="str"/>
      <x:c r="E24" s="29" t="str"/>
      <x:c r="F24" s="29" t="str">
        <x:v>لم يُنفذ</x:v>
      </x:c>
      <x:c r="G24" s="29" t="str"/>
      <x:c r="H24" s="29" t="str"/>
      <x:c r="I24" s="29" t="str"/>
      <x:c r="J24" s="29" t="str"/>
      <x:c r="K24" s="30" t="str"/>
      <x:c r="L24" s="29" t="str"/>
      <x:c r="M24" s="29" t="str"/>
      <x:c r="N24" s="29" t="str"/>
      <x:c r="O24" s="28" t="str">
        <x:f>IF(F24="لم يُنفذ","لم يُنفذ",IF(F24="غير منطبق",IF(AND(M24&lt;&gt;"",N24&lt;&gt;""),"مراجعة قرار الاستبعاد","اعتماد عدم الانطباق مفقود"),IF(AND(D24&lt;&gt;"",E24&lt;&gt;"",G24&lt;&gt;"",H24&lt;&gt;"",K24&lt;&gt;"",L24&lt;&gt;"",N24&lt;&gt;"",OR(F24="ناجح",I24&lt;&gt;"")),"موثق","أدلة أو ملاحظة مفقودة")))</x:f>
        <x:v>لم يُنفذ</x:v>
      </x:c>
    </x:row>
    <x:row r="25" ht="48" customHeight="1">
      <x:c r="A25" s="28" t="str">
        <x:v>ATT-01-C</x:v>
      </x:c>
      <x:c r="B25" s="28" t="str">
        <x:v>الحضور وجدولة القوى العاملة</x:v>
      </x:c>
      <x:c r="C25" s="28" t="str">
        <x:v>P1</x:v>
      </x:c>
      <x:c r="D25" s="29" t="str"/>
      <x:c r="E25" s="29" t="str"/>
      <x:c r="F25" s="29" t="str">
        <x:v>لم يُنفذ</x:v>
      </x:c>
      <x:c r="G25" s="29" t="str"/>
      <x:c r="H25" s="29" t="str"/>
      <x:c r="I25" s="29" t="str"/>
      <x:c r="J25" s="29" t="str"/>
      <x:c r="K25" s="30" t="str"/>
      <x:c r="L25" s="29" t="str"/>
      <x:c r="M25" s="29" t="str"/>
      <x:c r="N25" s="29" t="str"/>
      <x:c r="O25" s="28" t="str">
        <x:f>IF(F25="لم يُنفذ","لم يُنفذ",IF(F25="غير منطبق",IF(AND(M25&lt;&gt;"",N25&lt;&gt;""),"مراجعة قرار الاستبعاد","اعتماد عدم الانطباق مفقود"),IF(AND(D25&lt;&gt;"",E25&lt;&gt;"",G25&lt;&gt;"",H25&lt;&gt;"",K25&lt;&gt;"",L25&lt;&gt;"",N25&lt;&gt;"",OR(F25="ناجح",I25&lt;&gt;"")),"موثق","أدلة أو ملاحظة مفقودة")))</x:f>
        <x:v>لم يُنفذ</x:v>
      </x:c>
    </x:row>
    <x:row r="26" ht="48" customHeight="1">
      <x:c r="A26" s="28" t="str">
        <x:v>ATT-02-P</x:v>
      </x:c>
      <x:c r="B26" s="28" t="str">
        <x:v>الحضور وجدولة القوى العاملة</x:v>
      </x:c>
      <x:c r="C26" s="28" t="str">
        <x:v>P1</x:v>
      </x:c>
      <x:c r="D26" s="29" t="str"/>
      <x:c r="E26" s="29" t="str"/>
      <x:c r="F26" s="29" t="str">
        <x:v>لم يُنفذ</x:v>
      </x:c>
      <x:c r="G26" s="29" t="str"/>
      <x:c r="H26" s="29" t="str"/>
      <x:c r="I26" s="29" t="str"/>
      <x:c r="J26" s="29" t="str"/>
      <x:c r="K26" s="30" t="str"/>
      <x:c r="L26" s="29" t="str"/>
      <x:c r="M26" s="29" t="str"/>
      <x:c r="N26" s="29" t="str"/>
      <x:c r="O26" s="28" t="str">
        <x:f>IF(F26="لم يُنفذ","لم يُنفذ",IF(F26="غير منطبق",IF(AND(M26&lt;&gt;"",N26&lt;&gt;""),"مراجعة قرار الاستبعاد","اعتماد عدم الانطباق مفقود"),IF(AND(D26&lt;&gt;"",E26&lt;&gt;"",G26&lt;&gt;"",H26&lt;&gt;"",K26&lt;&gt;"",L26&lt;&gt;"",N26&lt;&gt;"",OR(F26="ناجح",I26&lt;&gt;"")),"موثق","أدلة أو ملاحظة مفقودة")))</x:f>
        <x:v>لم يُنفذ</x:v>
      </x:c>
    </x:row>
    <x:row r="27" ht="48" customHeight="1">
      <x:c r="A27" s="28" t="str">
        <x:v>ATT-02-C</x:v>
      </x:c>
      <x:c r="B27" s="28" t="str">
        <x:v>الحضور وجدولة القوى العاملة</x:v>
      </x:c>
      <x:c r="C27" s="28" t="str">
        <x:v>P1</x:v>
      </x:c>
      <x:c r="D27" s="29" t="str"/>
      <x:c r="E27" s="29" t="str"/>
      <x:c r="F27" s="29" t="str">
        <x:v>لم يُنفذ</x:v>
      </x:c>
      <x:c r="G27" s="29" t="str"/>
      <x:c r="H27" s="29" t="str"/>
      <x:c r="I27" s="29" t="str"/>
      <x:c r="J27" s="29" t="str"/>
      <x:c r="K27" s="30" t="str"/>
      <x:c r="L27" s="29" t="str"/>
      <x:c r="M27" s="29" t="str"/>
      <x:c r="N27" s="29" t="str"/>
      <x:c r="O27" s="28" t="str">
        <x:f>IF(F27="لم يُنفذ","لم يُنفذ",IF(F27="غير منطبق",IF(AND(M27&lt;&gt;"",N27&lt;&gt;""),"مراجعة قرار الاستبعاد","اعتماد عدم الانطباق مفقود"),IF(AND(D27&lt;&gt;"",E27&lt;&gt;"",G27&lt;&gt;"",H27&lt;&gt;"",K27&lt;&gt;"",L27&lt;&gt;"",N27&lt;&gt;"",OR(F27="ناجح",I27&lt;&gt;"")),"موثق","أدلة أو ملاحظة مفقودة")))</x:f>
        <x:v>لم يُنفذ</x:v>
      </x:c>
    </x:row>
    <x:row r="28" ht="48" customHeight="1">
      <x:c r="A28" s="28" t="str">
        <x:v>ATT-03-P</x:v>
      </x:c>
      <x:c r="B28" s="28" t="str">
        <x:v>الحضور وجدولة القوى العاملة</x:v>
      </x:c>
      <x:c r="C28" s="28" t="str">
        <x:v>P0</x:v>
      </x:c>
      <x:c r="D28" s="29" t="str"/>
      <x:c r="E28" s="29" t="str"/>
      <x:c r="F28" s="29" t="str">
        <x:v>لم يُنفذ</x:v>
      </x:c>
      <x:c r="G28" s="29" t="str"/>
      <x:c r="H28" s="29" t="str"/>
      <x:c r="I28" s="29" t="str"/>
      <x:c r="J28" s="29" t="str"/>
      <x:c r="K28" s="30" t="str"/>
      <x:c r="L28" s="29" t="str"/>
      <x:c r="M28" s="29" t="str"/>
      <x:c r="N28" s="29" t="str"/>
      <x:c r="O28" s="28" t="str">
        <x:f>IF(F28="لم يُنفذ","لم يُنفذ",IF(F28="غير منطبق",IF(AND(M28&lt;&gt;"",N28&lt;&gt;""),"مراجعة قرار الاستبعاد","اعتماد عدم الانطباق مفقود"),IF(AND(D28&lt;&gt;"",E28&lt;&gt;"",G28&lt;&gt;"",H28&lt;&gt;"",K28&lt;&gt;"",L28&lt;&gt;"",N28&lt;&gt;"",OR(F28="ناجح",I28&lt;&gt;"")),"موثق","أدلة أو ملاحظة مفقودة")))</x:f>
        <x:v>لم يُنفذ</x:v>
      </x:c>
    </x:row>
    <x:row r="29" ht="48" customHeight="1">
      <x:c r="A29" s="28" t="str">
        <x:v>ATT-03-C</x:v>
      </x:c>
      <x:c r="B29" s="28" t="str">
        <x:v>الحضور وجدولة القوى العاملة</x:v>
      </x:c>
      <x:c r="C29" s="28" t="str">
        <x:v>P0</x:v>
      </x:c>
      <x:c r="D29" s="29" t="str"/>
      <x:c r="E29" s="29" t="str"/>
      <x:c r="F29" s="29" t="str">
        <x:v>لم يُنفذ</x:v>
      </x:c>
      <x:c r="G29" s="29" t="str"/>
      <x:c r="H29" s="29" t="str"/>
      <x:c r="I29" s="29" t="str"/>
      <x:c r="J29" s="29" t="str"/>
      <x:c r="K29" s="30" t="str"/>
      <x:c r="L29" s="29" t="str"/>
      <x:c r="M29" s="29" t="str"/>
      <x:c r="N29" s="29" t="str"/>
      <x:c r="O29" s="28" t="str">
        <x:f>IF(F29="لم يُنفذ","لم يُنفذ",IF(F29="غير منطبق",IF(AND(M29&lt;&gt;"",N29&lt;&gt;""),"مراجعة قرار الاستبعاد","اعتماد عدم الانطباق مفقود"),IF(AND(D29&lt;&gt;"",E29&lt;&gt;"",G29&lt;&gt;"",H29&lt;&gt;"",K29&lt;&gt;"",L29&lt;&gt;"",N29&lt;&gt;"",OR(F29="ناجح",I29&lt;&gt;"")),"موثق","أدلة أو ملاحظة مفقودة")))</x:f>
        <x:v>لم يُنفذ</x:v>
      </x:c>
    </x:row>
    <x:row r="30" ht="48" customHeight="1">
      <x:c r="A30" s="28" t="str">
        <x:v>ATT-04-P</x:v>
      </x:c>
      <x:c r="B30" s="28" t="str">
        <x:v>الحضور وجدولة القوى العاملة</x:v>
      </x:c>
      <x:c r="C30" s="28" t="str">
        <x:v>P1</x:v>
      </x:c>
      <x:c r="D30" s="29" t="str"/>
      <x:c r="E30" s="29" t="str"/>
      <x:c r="F30" s="29" t="str">
        <x:v>لم يُنفذ</x:v>
      </x:c>
      <x:c r="G30" s="29" t="str"/>
      <x:c r="H30" s="29" t="str"/>
      <x:c r="I30" s="29" t="str"/>
      <x:c r="J30" s="29" t="str"/>
      <x:c r="K30" s="30" t="str"/>
      <x:c r="L30" s="29" t="str"/>
      <x:c r="M30" s="29" t="str"/>
      <x:c r="N30" s="29" t="str"/>
      <x:c r="O30" s="28" t="str">
        <x:f>IF(F30="لم يُنفذ","لم يُنفذ",IF(F30="غير منطبق",IF(AND(M30&lt;&gt;"",N30&lt;&gt;""),"مراجعة قرار الاستبعاد","اعتماد عدم الانطباق مفقود"),IF(AND(D30&lt;&gt;"",E30&lt;&gt;"",G30&lt;&gt;"",H30&lt;&gt;"",K30&lt;&gt;"",L30&lt;&gt;"",N30&lt;&gt;"",OR(F30="ناجح",I30&lt;&gt;"")),"موثق","أدلة أو ملاحظة مفقودة")))</x:f>
        <x:v>لم يُنفذ</x:v>
      </x:c>
    </x:row>
    <x:row r="31" ht="48" customHeight="1">
      <x:c r="A31" s="28" t="str">
        <x:v>ATT-04-C</x:v>
      </x:c>
      <x:c r="B31" s="28" t="str">
        <x:v>الحضور وجدولة القوى العاملة</x:v>
      </x:c>
      <x:c r="C31" s="28" t="str">
        <x:v>P1</x:v>
      </x:c>
      <x:c r="D31" s="29" t="str"/>
      <x:c r="E31" s="29" t="str"/>
      <x:c r="F31" s="29" t="str">
        <x:v>لم يُنفذ</x:v>
      </x:c>
      <x:c r="G31" s="29" t="str"/>
      <x:c r="H31" s="29" t="str"/>
      <x:c r="I31" s="29" t="str"/>
      <x:c r="J31" s="29" t="str"/>
      <x:c r="K31" s="30" t="str"/>
      <x:c r="L31" s="29" t="str"/>
      <x:c r="M31" s="29" t="str"/>
      <x:c r="N31" s="29" t="str"/>
      <x:c r="O31" s="28" t="str">
        <x:f>IF(F31="لم يُنفذ","لم يُنفذ",IF(F31="غير منطبق",IF(AND(M31&lt;&gt;"",N31&lt;&gt;""),"مراجعة قرار الاستبعاد","اعتماد عدم الانطباق مفقود"),IF(AND(D31&lt;&gt;"",E31&lt;&gt;"",G31&lt;&gt;"",H31&lt;&gt;"",K31&lt;&gt;"",L31&lt;&gt;"",N31&lt;&gt;"",OR(F31="ناجح",I31&lt;&gt;"")),"موثق","أدلة أو ملاحظة مفقودة")))</x:f>
        <x:v>لم يُنفذ</x:v>
      </x:c>
    </x:row>
    <x:row r="32" ht="48" customHeight="1">
      <x:c r="A32" s="28" t="str">
        <x:v>ATT-05-P</x:v>
      </x:c>
      <x:c r="B32" s="28" t="str">
        <x:v>الحضور وجدولة القوى العاملة</x:v>
      </x:c>
      <x:c r="C32" s="28" t="str">
        <x:v>P0</x:v>
      </x:c>
      <x:c r="D32" s="29" t="str"/>
      <x:c r="E32" s="29" t="str"/>
      <x:c r="F32" s="29" t="str">
        <x:v>لم يُنفذ</x:v>
      </x:c>
      <x:c r="G32" s="29" t="str"/>
      <x:c r="H32" s="29" t="str"/>
      <x:c r="I32" s="29" t="str"/>
      <x:c r="J32" s="29" t="str"/>
      <x:c r="K32" s="30" t="str"/>
      <x:c r="L32" s="29" t="str"/>
      <x:c r="M32" s="29" t="str"/>
      <x:c r="N32" s="29" t="str"/>
      <x:c r="O32" s="28" t="str">
        <x:f>IF(F32="لم يُنفذ","لم يُنفذ",IF(F32="غير منطبق",IF(AND(M32&lt;&gt;"",N32&lt;&gt;""),"مراجعة قرار الاستبعاد","اعتماد عدم الانطباق مفقود"),IF(AND(D32&lt;&gt;"",E32&lt;&gt;"",G32&lt;&gt;"",H32&lt;&gt;"",K32&lt;&gt;"",L32&lt;&gt;"",N32&lt;&gt;"",OR(F32="ناجح",I32&lt;&gt;"")),"موثق","أدلة أو ملاحظة مفقودة")))</x:f>
        <x:v>لم يُنفذ</x:v>
      </x:c>
    </x:row>
    <x:row r="33" ht="48" customHeight="1">
      <x:c r="A33" s="28" t="str">
        <x:v>ATT-05-C</x:v>
      </x:c>
      <x:c r="B33" s="28" t="str">
        <x:v>الحضور وجدولة القوى العاملة</x:v>
      </x:c>
      <x:c r="C33" s="28" t="str">
        <x:v>P0</x:v>
      </x:c>
      <x:c r="D33" s="29" t="str"/>
      <x:c r="E33" s="29" t="str"/>
      <x:c r="F33" s="29" t="str">
        <x:v>لم يُنفذ</x:v>
      </x:c>
      <x:c r="G33" s="29" t="str"/>
      <x:c r="H33" s="29" t="str"/>
      <x:c r="I33" s="29" t="str"/>
      <x:c r="J33" s="29" t="str"/>
      <x:c r="K33" s="30" t="str"/>
      <x:c r="L33" s="29" t="str"/>
      <x:c r="M33" s="29" t="str"/>
      <x:c r="N33" s="29" t="str"/>
      <x:c r="O33" s="28" t="str">
        <x:f>IF(F33="لم يُنفذ","لم يُنفذ",IF(F33="غير منطبق",IF(AND(M33&lt;&gt;"",N33&lt;&gt;""),"مراجعة قرار الاستبعاد","اعتماد عدم الانطباق مفقود"),IF(AND(D33&lt;&gt;"",E33&lt;&gt;"",G33&lt;&gt;"",H33&lt;&gt;"",K33&lt;&gt;"",L33&lt;&gt;"",N33&lt;&gt;"",OR(F33="ناجح",I33&lt;&gt;"")),"موثق","أدلة أو ملاحظة مفقودة")))</x:f>
        <x:v>لم يُنفذ</x:v>
      </x:c>
    </x:row>
    <x:row r="34" ht="48" customHeight="1">
      <x:c r="A34" s="28" t="str">
        <x:v>ATT-06-P</x:v>
      </x:c>
      <x:c r="B34" s="28" t="str">
        <x:v>الحضور وجدولة القوى العاملة</x:v>
      </x:c>
      <x:c r="C34" s="28" t="str">
        <x:v>P0</x:v>
      </x:c>
      <x:c r="D34" s="29" t="str"/>
      <x:c r="E34" s="29" t="str"/>
      <x:c r="F34" s="29" t="str">
        <x:v>لم يُنفذ</x:v>
      </x:c>
      <x:c r="G34" s="29" t="str"/>
      <x:c r="H34" s="29" t="str"/>
      <x:c r="I34" s="29" t="str"/>
      <x:c r="J34" s="29" t="str"/>
      <x:c r="K34" s="30" t="str"/>
      <x:c r="L34" s="29" t="str"/>
      <x:c r="M34" s="29" t="str"/>
      <x:c r="N34" s="29" t="str"/>
      <x:c r="O34" s="28" t="str">
        <x:f>IF(F34="لم يُنفذ","لم يُنفذ",IF(F34="غير منطبق",IF(AND(M34&lt;&gt;"",N34&lt;&gt;""),"مراجعة قرار الاستبعاد","اعتماد عدم الانطباق مفقود"),IF(AND(D34&lt;&gt;"",E34&lt;&gt;"",G34&lt;&gt;"",H34&lt;&gt;"",K34&lt;&gt;"",L34&lt;&gt;"",N34&lt;&gt;"",OR(F34="ناجح",I34&lt;&gt;"")),"موثق","أدلة أو ملاحظة مفقودة")))</x:f>
        <x:v>لم يُنفذ</x:v>
      </x:c>
    </x:row>
    <x:row r="35" ht="48" customHeight="1">
      <x:c r="A35" s="28" t="str">
        <x:v>ATT-06-C</x:v>
      </x:c>
      <x:c r="B35" s="28" t="str">
        <x:v>الحضور وجدولة القوى العاملة</x:v>
      </x:c>
      <x:c r="C35" s="28" t="str">
        <x:v>P0</x:v>
      </x:c>
      <x:c r="D35" s="29" t="str"/>
      <x:c r="E35" s="29" t="str"/>
      <x:c r="F35" s="29" t="str">
        <x:v>لم يُنفذ</x:v>
      </x:c>
      <x:c r="G35" s="29" t="str"/>
      <x:c r="H35" s="29" t="str"/>
      <x:c r="I35" s="29" t="str"/>
      <x:c r="J35" s="29" t="str"/>
      <x:c r="K35" s="30" t="str"/>
      <x:c r="L35" s="29" t="str"/>
      <x:c r="M35" s="29" t="str"/>
      <x:c r="N35" s="29" t="str"/>
      <x:c r="O35" s="28" t="str">
        <x:f>IF(F35="لم يُنفذ","لم يُنفذ",IF(F35="غير منطبق",IF(AND(M35&lt;&gt;"",N35&lt;&gt;""),"مراجعة قرار الاستبعاد","اعتماد عدم الانطباق مفقود"),IF(AND(D35&lt;&gt;"",E35&lt;&gt;"",G35&lt;&gt;"",H35&lt;&gt;"",K35&lt;&gt;"",L35&lt;&gt;"",N35&lt;&gt;"",OR(F35="ناجح",I35&lt;&gt;"")),"موثق","أدلة أو ملاحظة مفقودة")))</x:f>
        <x:v>لم يُنفذ</x:v>
      </x:c>
    </x:row>
    <x:row r="36" ht="48" customHeight="1">
      <x:c r="A36" s="28" t="str">
        <x:v>LEV-01-P</x:v>
      </x:c>
      <x:c r="B36" s="28" t="str">
        <x:v>إدارة الإجازات</x:v>
      </x:c>
      <x:c r="C36" s="28" t="str">
        <x:v>P0</x:v>
      </x:c>
      <x:c r="D36" s="29" t="str"/>
      <x:c r="E36" s="29" t="str"/>
      <x:c r="F36" s="29" t="str">
        <x:v>لم يُنفذ</x:v>
      </x:c>
      <x:c r="G36" s="29" t="str"/>
      <x:c r="H36" s="29" t="str"/>
      <x:c r="I36" s="29" t="str"/>
      <x:c r="J36" s="29" t="str"/>
      <x:c r="K36" s="30" t="str"/>
      <x:c r="L36" s="29" t="str"/>
      <x:c r="M36" s="29" t="str"/>
      <x:c r="N36" s="29" t="str"/>
      <x:c r="O36" s="28" t="str">
        <x:f>IF(F36="لم يُنفذ","لم يُنفذ",IF(F36="غير منطبق",IF(AND(M36&lt;&gt;"",N36&lt;&gt;""),"مراجعة قرار الاستبعاد","اعتماد عدم الانطباق مفقود"),IF(AND(D36&lt;&gt;"",E36&lt;&gt;"",G36&lt;&gt;"",H36&lt;&gt;"",K36&lt;&gt;"",L36&lt;&gt;"",N36&lt;&gt;"",OR(F36="ناجح",I36&lt;&gt;"")),"موثق","أدلة أو ملاحظة مفقودة")))</x:f>
        <x:v>لم يُنفذ</x:v>
      </x:c>
    </x:row>
    <x:row r="37" ht="48" customHeight="1">
      <x:c r="A37" s="28" t="str">
        <x:v>LEV-01-C</x:v>
      </x:c>
      <x:c r="B37" s="28" t="str">
        <x:v>إدارة الإجازات</x:v>
      </x:c>
      <x:c r="C37" s="28" t="str">
        <x:v>P0</x:v>
      </x:c>
      <x:c r="D37" s="29" t="str"/>
      <x:c r="E37" s="29" t="str"/>
      <x:c r="F37" s="29" t="str">
        <x:v>لم يُنفذ</x:v>
      </x:c>
      <x:c r="G37" s="29" t="str"/>
      <x:c r="H37" s="29" t="str"/>
      <x:c r="I37" s="29" t="str"/>
      <x:c r="J37" s="29" t="str"/>
      <x:c r="K37" s="30" t="str"/>
      <x:c r="L37" s="29" t="str"/>
      <x:c r="M37" s="29" t="str"/>
      <x:c r="N37" s="29" t="str"/>
      <x:c r="O37" s="28" t="str">
        <x:f>IF(F37="لم يُنفذ","لم يُنفذ",IF(F37="غير منطبق",IF(AND(M37&lt;&gt;"",N37&lt;&gt;""),"مراجعة قرار الاستبعاد","اعتماد عدم الانطباق مفقود"),IF(AND(D37&lt;&gt;"",E37&lt;&gt;"",G37&lt;&gt;"",H37&lt;&gt;"",K37&lt;&gt;"",L37&lt;&gt;"",N37&lt;&gt;"",OR(F37="ناجح",I37&lt;&gt;"")),"موثق","أدلة أو ملاحظة مفقودة")))</x:f>
        <x:v>لم يُنفذ</x:v>
      </x:c>
    </x:row>
    <x:row r="38" ht="48" customHeight="1">
      <x:c r="A38" s="28" t="str">
        <x:v>LEV-02-P</x:v>
      </x:c>
      <x:c r="B38" s="28" t="str">
        <x:v>إدارة الإجازات</x:v>
      </x:c>
      <x:c r="C38" s="28" t="str">
        <x:v>P0</x:v>
      </x:c>
      <x:c r="D38" s="29" t="str"/>
      <x:c r="E38" s="29" t="str"/>
      <x:c r="F38" s="29" t="str">
        <x:v>لم يُنفذ</x:v>
      </x:c>
      <x:c r="G38" s="29" t="str"/>
      <x:c r="H38" s="29" t="str"/>
      <x:c r="I38" s="29" t="str"/>
      <x:c r="J38" s="29" t="str"/>
      <x:c r="K38" s="30" t="str"/>
      <x:c r="L38" s="29" t="str"/>
      <x:c r="M38" s="29" t="str"/>
      <x:c r="N38" s="29" t="str"/>
      <x:c r="O38" s="28" t="str">
        <x:f>IF(F38="لم يُنفذ","لم يُنفذ",IF(F38="غير منطبق",IF(AND(M38&lt;&gt;"",N38&lt;&gt;""),"مراجعة قرار الاستبعاد","اعتماد عدم الانطباق مفقود"),IF(AND(D38&lt;&gt;"",E38&lt;&gt;"",G38&lt;&gt;"",H38&lt;&gt;"",K38&lt;&gt;"",L38&lt;&gt;"",N38&lt;&gt;"",OR(F38="ناجح",I38&lt;&gt;"")),"موثق","أدلة أو ملاحظة مفقودة")))</x:f>
        <x:v>لم يُنفذ</x:v>
      </x:c>
    </x:row>
    <x:row r="39" ht="48" customHeight="1">
      <x:c r="A39" s="28" t="str">
        <x:v>LEV-02-C</x:v>
      </x:c>
      <x:c r="B39" s="28" t="str">
        <x:v>إدارة الإجازات</x:v>
      </x:c>
      <x:c r="C39" s="28" t="str">
        <x:v>P0</x:v>
      </x:c>
      <x:c r="D39" s="29" t="str"/>
      <x:c r="E39" s="29" t="str"/>
      <x:c r="F39" s="29" t="str">
        <x:v>لم يُنفذ</x:v>
      </x:c>
      <x:c r="G39" s="29" t="str"/>
      <x:c r="H39" s="29" t="str"/>
      <x:c r="I39" s="29" t="str"/>
      <x:c r="J39" s="29" t="str"/>
      <x:c r="K39" s="30" t="str"/>
      <x:c r="L39" s="29" t="str"/>
      <x:c r="M39" s="29" t="str"/>
      <x:c r="N39" s="29" t="str"/>
      <x:c r="O39" s="28" t="str">
        <x:f>IF(F39="لم يُنفذ","لم يُنفذ",IF(F39="غير منطبق",IF(AND(M39&lt;&gt;"",N39&lt;&gt;""),"مراجعة قرار الاستبعاد","اعتماد عدم الانطباق مفقود"),IF(AND(D39&lt;&gt;"",E39&lt;&gt;"",G39&lt;&gt;"",H39&lt;&gt;"",K39&lt;&gt;"",L39&lt;&gt;"",N39&lt;&gt;"",OR(F39="ناجح",I39&lt;&gt;"")),"موثق","أدلة أو ملاحظة مفقودة")))</x:f>
        <x:v>لم يُنفذ</x:v>
      </x:c>
    </x:row>
    <x:row r="40" ht="48" customHeight="1">
      <x:c r="A40" s="28" t="str">
        <x:v>LEV-03-P</x:v>
      </x:c>
      <x:c r="B40" s="28" t="str">
        <x:v>إدارة الإجازات</x:v>
      </x:c>
      <x:c r="C40" s="28" t="str">
        <x:v>P0</x:v>
      </x:c>
      <x:c r="D40" s="29" t="str"/>
      <x:c r="E40" s="29" t="str"/>
      <x:c r="F40" s="29" t="str">
        <x:v>لم يُنفذ</x:v>
      </x:c>
      <x:c r="G40" s="29" t="str"/>
      <x:c r="H40" s="29" t="str"/>
      <x:c r="I40" s="29" t="str"/>
      <x:c r="J40" s="29" t="str"/>
      <x:c r="K40" s="30" t="str"/>
      <x:c r="L40" s="29" t="str"/>
      <x:c r="M40" s="29" t="str"/>
      <x:c r="N40" s="29" t="str"/>
      <x:c r="O40" s="28" t="str">
        <x:f>IF(F40="لم يُنفذ","لم يُنفذ",IF(F40="غير منطبق",IF(AND(M40&lt;&gt;"",N40&lt;&gt;""),"مراجعة قرار الاستبعاد","اعتماد عدم الانطباق مفقود"),IF(AND(D40&lt;&gt;"",E40&lt;&gt;"",G40&lt;&gt;"",H40&lt;&gt;"",K40&lt;&gt;"",L40&lt;&gt;"",N40&lt;&gt;"",OR(F40="ناجح",I40&lt;&gt;"")),"موثق","أدلة أو ملاحظة مفقودة")))</x:f>
        <x:v>لم يُنفذ</x:v>
      </x:c>
    </x:row>
    <x:row r="41" ht="48" customHeight="1">
      <x:c r="A41" s="28" t="str">
        <x:v>LEV-03-C</x:v>
      </x:c>
      <x:c r="B41" s="28" t="str">
        <x:v>إدارة الإجازات</x:v>
      </x:c>
      <x:c r="C41" s="28" t="str">
        <x:v>P0</x:v>
      </x:c>
      <x:c r="D41" s="29" t="str"/>
      <x:c r="E41" s="29" t="str"/>
      <x:c r="F41" s="29" t="str">
        <x:v>لم يُنفذ</x:v>
      </x:c>
      <x:c r="G41" s="29" t="str"/>
      <x:c r="H41" s="29" t="str"/>
      <x:c r="I41" s="29" t="str"/>
      <x:c r="J41" s="29" t="str"/>
      <x:c r="K41" s="30" t="str"/>
      <x:c r="L41" s="29" t="str"/>
      <x:c r="M41" s="29" t="str"/>
      <x:c r="N41" s="29" t="str"/>
      <x:c r="O41" s="28" t="str">
        <x:f>IF(F41="لم يُنفذ","لم يُنفذ",IF(F41="غير منطبق",IF(AND(M41&lt;&gt;"",N41&lt;&gt;""),"مراجعة قرار الاستبعاد","اعتماد عدم الانطباق مفقود"),IF(AND(D41&lt;&gt;"",E41&lt;&gt;"",G41&lt;&gt;"",H41&lt;&gt;"",K41&lt;&gt;"",L41&lt;&gt;"",N41&lt;&gt;"",OR(F41="ناجح",I41&lt;&gt;"")),"موثق","أدلة أو ملاحظة مفقودة")))</x:f>
        <x:v>لم يُنفذ</x:v>
      </x:c>
    </x:row>
    <x:row r="42" ht="48" customHeight="1">
      <x:c r="A42" s="28" t="str">
        <x:v>LEV-04-P</x:v>
      </x:c>
      <x:c r="B42" s="28" t="str">
        <x:v>إدارة الإجازات</x:v>
      </x:c>
      <x:c r="C42" s="28" t="str">
        <x:v>P1</x:v>
      </x:c>
      <x:c r="D42" s="29" t="str"/>
      <x:c r="E42" s="29" t="str"/>
      <x:c r="F42" s="29" t="str">
        <x:v>لم يُنفذ</x:v>
      </x:c>
      <x:c r="G42" s="29" t="str"/>
      <x:c r="H42" s="29" t="str"/>
      <x:c r="I42" s="29" t="str"/>
      <x:c r="J42" s="29" t="str"/>
      <x:c r="K42" s="30" t="str"/>
      <x:c r="L42" s="29" t="str"/>
      <x:c r="M42" s="29" t="str"/>
      <x:c r="N42" s="29" t="str"/>
      <x:c r="O42" s="28" t="str">
        <x:f>IF(F42="لم يُنفذ","لم يُنفذ",IF(F42="غير منطبق",IF(AND(M42&lt;&gt;"",N42&lt;&gt;""),"مراجعة قرار الاستبعاد","اعتماد عدم الانطباق مفقود"),IF(AND(D42&lt;&gt;"",E42&lt;&gt;"",G42&lt;&gt;"",H42&lt;&gt;"",K42&lt;&gt;"",L42&lt;&gt;"",N42&lt;&gt;"",OR(F42="ناجح",I42&lt;&gt;"")),"موثق","أدلة أو ملاحظة مفقودة")))</x:f>
        <x:v>لم يُنفذ</x:v>
      </x:c>
    </x:row>
    <x:row r="43" ht="48" customHeight="1">
      <x:c r="A43" s="28" t="str">
        <x:v>LEV-04-C</x:v>
      </x:c>
      <x:c r="B43" s="28" t="str">
        <x:v>إدارة الإجازات</x:v>
      </x:c>
      <x:c r="C43" s="28" t="str">
        <x:v>P1</x:v>
      </x:c>
      <x:c r="D43" s="29" t="str"/>
      <x:c r="E43" s="29" t="str"/>
      <x:c r="F43" s="29" t="str">
        <x:v>لم يُنفذ</x:v>
      </x:c>
      <x:c r="G43" s="29" t="str"/>
      <x:c r="H43" s="29" t="str"/>
      <x:c r="I43" s="29" t="str"/>
      <x:c r="J43" s="29" t="str"/>
      <x:c r="K43" s="30" t="str"/>
      <x:c r="L43" s="29" t="str"/>
      <x:c r="M43" s="29" t="str"/>
      <x:c r="N43" s="29" t="str"/>
      <x:c r="O43" s="28" t="str">
        <x:f>IF(F43="لم يُنفذ","لم يُنفذ",IF(F43="غير منطبق",IF(AND(M43&lt;&gt;"",N43&lt;&gt;""),"مراجعة قرار الاستبعاد","اعتماد عدم الانطباق مفقود"),IF(AND(D43&lt;&gt;"",E43&lt;&gt;"",G43&lt;&gt;"",H43&lt;&gt;"",K43&lt;&gt;"",L43&lt;&gt;"",N43&lt;&gt;"",OR(F43="ناجح",I43&lt;&gt;"")),"موثق","أدلة أو ملاحظة مفقودة")))</x:f>
        <x:v>لم يُنفذ</x:v>
      </x:c>
    </x:row>
    <x:row r="44" ht="48" customHeight="1">
      <x:c r="A44" s="28" t="str">
        <x:v>LEV-05-P</x:v>
      </x:c>
      <x:c r="B44" s="28" t="str">
        <x:v>إدارة الإجازات</x:v>
      </x:c>
      <x:c r="C44" s="28" t="str">
        <x:v>P0</x:v>
      </x:c>
      <x:c r="D44" s="29" t="str"/>
      <x:c r="E44" s="29" t="str"/>
      <x:c r="F44" s="29" t="str">
        <x:v>لم يُنفذ</x:v>
      </x:c>
      <x:c r="G44" s="29" t="str"/>
      <x:c r="H44" s="29" t="str"/>
      <x:c r="I44" s="29" t="str"/>
      <x:c r="J44" s="29" t="str"/>
      <x:c r="K44" s="30" t="str"/>
      <x:c r="L44" s="29" t="str"/>
      <x:c r="M44" s="29" t="str"/>
      <x:c r="N44" s="29" t="str"/>
      <x:c r="O44" s="28" t="str">
        <x:f>IF(F44="لم يُنفذ","لم يُنفذ",IF(F44="غير منطبق",IF(AND(M44&lt;&gt;"",N44&lt;&gt;""),"مراجعة قرار الاستبعاد","اعتماد عدم الانطباق مفقود"),IF(AND(D44&lt;&gt;"",E44&lt;&gt;"",G44&lt;&gt;"",H44&lt;&gt;"",K44&lt;&gt;"",L44&lt;&gt;"",N44&lt;&gt;"",OR(F44="ناجح",I44&lt;&gt;"")),"موثق","أدلة أو ملاحظة مفقودة")))</x:f>
        <x:v>لم يُنفذ</x:v>
      </x:c>
    </x:row>
    <x:row r="45" ht="48" customHeight="1">
      <x:c r="A45" s="28" t="str">
        <x:v>LEV-05-C</x:v>
      </x:c>
      <x:c r="B45" s="28" t="str">
        <x:v>إدارة الإجازات</x:v>
      </x:c>
      <x:c r="C45" s="28" t="str">
        <x:v>P0</x:v>
      </x:c>
      <x:c r="D45" s="29" t="str"/>
      <x:c r="E45" s="29" t="str"/>
      <x:c r="F45" s="29" t="str">
        <x:v>لم يُنفذ</x:v>
      </x:c>
      <x:c r="G45" s="29" t="str"/>
      <x:c r="H45" s="29" t="str"/>
      <x:c r="I45" s="29" t="str"/>
      <x:c r="J45" s="29" t="str"/>
      <x:c r="K45" s="30" t="str"/>
      <x:c r="L45" s="29" t="str"/>
      <x:c r="M45" s="29" t="str"/>
      <x:c r="N45" s="29" t="str"/>
      <x:c r="O45" s="28" t="str">
        <x:f>IF(F45="لم يُنفذ","لم يُنفذ",IF(F45="غير منطبق",IF(AND(M45&lt;&gt;"",N45&lt;&gt;""),"مراجعة قرار الاستبعاد","اعتماد عدم الانطباق مفقود"),IF(AND(D45&lt;&gt;"",E45&lt;&gt;"",G45&lt;&gt;"",H45&lt;&gt;"",K45&lt;&gt;"",L45&lt;&gt;"",N45&lt;&gt;"",OR(F45="ناجح",I45&lt;&gt;"")),"موثق","أدلة أو ملاحظة مفقودة")))</x:f>
        <x:v>لم يُنفذ</x:v>
      </x:c>
    </x:row>
    <x:row r="46" ht="48" customHeight="1">
      <x:c r="A46" s="28" t="str">
        <x:v>PAY-01-P</x:v>
      </x:c>
      <x:c r="B46" s="28" t="str">
        <x:v>الرواتب والتعويضات</x:v>
      </x:c>
      <x:c r="C46" s="28" t="str">
        <x:v>P0</x:v>
      </x:c>
      <x:c r="D46" s="29" t="str"/>
      <x:c r="E46" s="29" t="str"/>
      <x:c r="F46" s="29" t="str">
        <x:v>لم يُنفذ</x:v>
      </x:c>
      <x:c r="G46" s="29" t="str"/>
      <x:c r="H46" s="29" t="str"/>
      <x:c r="I46" s="29" t="str"/>
      <x:c r="J46" s="29" t="str"/>
      <x:c r="K46" s="30" t="str"/>
      <x:c r="L46" s="29" t="str"/>
      <x:c r="M46" s="29" t="str"/>
      <x:c r="N46" s="29" t="str"/>
      <x:c r="O46" s="28" t="str">
        <x:f>IF(F46="لم يُنفذ","لم يُنفذ",IF(F46="غير منطبق",IF(AND(M46&lt;&gt;"",N46&lt;&gt;""),"مراجعة قرار الاستبعاد","اعتماد عدم الانطباق مفقود"),IF(AND(D46&lt;&gt;"",E46&lt;&gt;"",G46&lt;&gt;"",H46&lt;&gt;"",K46&lt;&gt;"",L46&lt;&gt;"",N46&lt;&gt;"",OR(F46="ناجح",I46&lt;&gt;"")),"موثق","أدلة أو ملاحظة مفقودة")))</x:f>
        <x:v>لم يُنفذ</x:v>
      </x:c>
    </x:row>
    <x:row r="47" ht="48" customHeight="1">
      <x:c r="A47" s="28" t="str">
        <x:v>PAY-01-C</x:v>
      </x:c>
      <x:c r="B47" s="28" t="str">
        <x:v>الرواتب والتعويضات</x:v>
      </x:c>
      <x:c r="C47" s="28" t="str">
        <x:v>P0</x:v>
      </x:c>
      <x:c r="D47" s="29" t="str"/>
      <x:c r="E47" s="29" t="str"/>
      <x:c r="F47" s="29" t="str">
        <x:v>لم يُنفذ</x:v>
      </x:c>
      <x:c r="G47" s="29" t="str"/>
      <x:c r="H47" s="29" t="str"/>
      <x:c r="I47" s="29" t="str"/>
      <x:c r="J47" s="29" t="str"/>
      <x:c r="K47" s="30" t="str"/>
      <x:c r="L47" s="29" t="str"/>
      <x:c r="M47" s="29" t="str"/>
      <x:c r="N47" s="29" t="str"/>
      <x:c r="O47" s="28" t="str">
        <x:f>IF(F47="لم يُنفذ","لم يُنفذ",IF(F47="غير منطبق",IF(AND(M47&lt;&gt;"",N47&lt;&gt;""),"مراجعة قرار الاستبعاد","اعتماد عدم الانطباق مفقود"),IF(AND(D47&lt;&gt;"",E47&lt;&gt;"",G47&lt;&gt;"",H47&lt;&gt;"",K47&lt;&gt;"",L47&lt;&gt;"",N47&lt;&gt;"",OR(F47="ناجح",I47&lt;&gt;"")),"موثق","أدلة أو ملاحظة مفقودة")))</x:f>
        <x:v>لم يُنفذ</x:v>
      </x:c>
    </x:row>
    <x:row r="48" ht="48" customHeight="1">
      <x:c r="A48" s="28" t="str">
        <x:v>PAY-02-P</x:v>
      </x:c>
      <x:c r="B48" s="28" t="str">
        <x:v>الرواتب والتعويضات</x:v>
      </x:c>
      <x:c r="C48" s="28" t="str">
        <x:v>P0</x:v>
      </x:c>
      <x:c r="D48" s="29" t="str"/>
      <x:c r="E48" s="29" t="str"/>
      <x:c r="F48" s="29" t="str">
        <x:v>لم يُنفذ</x:v>
      </x:c>
      <x:c r="G48" s="29" t="str"/>
      <x:c r="H48" s="29" t="str"/>
      <x:c r="I48" s="29" t="str"/>
      <x:c r="J48" s="29" t="str"/>
      <x:c r="K48" s="30" t="str"/>
      <x:c r="L48" s="29" t="str"/>
      <x:c r="M48" s="29" t="str"/>
      <x:c r="N48" s="29" t="str"/>
      <x:c r="O48" s="28" t="str">
        <x:f>IF(F48="لم يُنفذ","لم يُنفذ",IF(F48="غير منطبق",IF(AND(M48&lt;&gt;"",N48&lt;&gt;""),"مراجعة قرار الاستبعاد","اعتماد عدم الانطباق مفقود"),IF(AND(D48&lt;&gt;"",E48&lt;&gt;"",G48&lt;&gt;"",H48&lt;&gt;"",K48&lt;&gt;"",L48&lt;&gt;"",N48&lt;&gt;"",OR(F48="ناجح",I48&lt;&gt;"")),"موثق","أدلة أو ملاحظة مفقودة")))</x:f>
        <x:v>لم يُنفذ</x:v>
      </x:c>
    </x:row>
    <x:row r="49" ht="48" customHeight="1">
      <x:c r="A49" s="28" t="str">
        <x:v>PAY-02-C</x:v>
      </x:c>
      <x:c r="B49" s="28" t="str">
        <x:v>الرواتب والتعويضات</x:v>
      </x:c>
      <x:c r="C49" s="28" t="str">
        <x:v>P0</x:v>
      </x:c>
      <x:c r="D49" s="29" t="str"/>
      <x:c r="E49" s="29" t="str"/>
      <x:c r="F49" s="29" t="str">
        <x:v>لم يُنفذ</x:v>
      </x:c>
      <x:c r="G49" s="29" t="str"/>
      <x:c r="H49" s="29" t="str"/>
      <x:c r="I49" s="29" t="str"/>
      <x:c r="J49" s="29" t="str"/>
      <x:c r="K49" s="30" t="str"/>
      <x:c r="L49" s="29" t="str"/>
      <x:c r="M49" s="29" t="str"/>
      <x:c r="N49" s="29" t="str"/>
      <x:c r="O49" s="28" t="str">
        <x:f>IF(F49="لم يُنفذ","لم يُنفذ",IF(F49="غير منطبق",IF(AND(M49&lt;&gt;"",N49&lt;&gt;""),"مراجعة قرار الاستبعاد","اعتماد عدم الانطباق مفقود"),IF(AND(D49&lt;&gt;"",E49&lt;&gt;"",G49&lt;&gt;"",H49&lt;&gt;"",K49&lt;&gt;"",L49&lt;&gt;"",N49&lt;&gt;"",OR(F49="ناجح",I49&lt;&gt;"")),"موثق","أدلة أو ملاحظة مفقودة")))</x:f>
        <x:v>لم يُنفذ</x:v>
      </x:c>
    </x:row>
    <x:row r="50" ht="48" customHeight="1">
      <x:c r="A50" s="28" t="str">
        <x:v>PAY-03-P</x:v>
      </x:c>
      <x:c r="B50" s="28" t="str">
        <x:v>الرواتب والتعويضات</x:v>
      </x:c>
      <x:c r="C50" s="28" t="str">
        <x:v>P0</x:v>
      </x:c>
      <x:c r="D50" s="29" t="str"/>
      <x:c r="E50" s="29" t="str"/>
      <x:c r="F50" s="29" t="str">
        <x:v>لم يُنفذ</x:v>
      </x:c>
      <x:c r="G50" s="29" t="str"/>
      <x:c r="H50" s="29" t="str"/>
      <x:c r="I50" s="29" t="str"/>
      <x:c r="J50" s="29" t="str"/>
      <x:c r="K50" s="30" t="str"/>
      <x:c r="L50" s="29" t="str"/>
      <x:c r="M50" s="29" t="str"/>
      <x:c r="N50" s="29" t="str"/>
      <x:c r="O50" s="28" t="str">
        <x:f>IF(F50="لم يُنفذ","لم يُنفذ",IF(F50="غير منطبق",IF(AND(M50&lt;&gt;"",N50&lt;&gt;""),"مراجعة قرار الاستبعاد","اعتماد عدم الانطباق مفقود"),IF(AND(D50&lt;&gt;"",E50&lt;&gt;"",G50&lt;&gt;"",H50&lt;&gt;"",K50&lt;&gt;"",L50&lt;&gt;"",N50&lt;&gt;"",OR(F50="ناجح",I50&lt;&gt;"")),"موثق","أدلة أو ملاحظة مفقودة")))</x:f>
        <x:v>لم يُنفذ</x:v>
      </x:c>
    </x:row>
    <x:row r="51" ht="48" customHeight="1">
      <x:c r="A51" s="28" t="str">
        <x:v>PAY-03-C</x:v>
      </x:c>
      <x:c r="B51" s="28" t="str">
        <x:v>الرواتب والتعويضات</x:v>
      </x:c>
      <x:c r="C51" s="28" t="str">
        <x:v>P0</x:v>
      </x:c>
      <x:c r="D51" s="29" t="str"/>
      <x:c r="E51" s="29" t="str"/>
      <x:c r="F51" s="29" t="str">
        <x:v>لم يُنفذ</x:v>
      </x:c>
      <x:c r="G51" s="29" t="str"/>
      <x:c r="H51" s="29" t="str"/>
      <x:c r="I51" s="29" t="str"/>
      <x:c r="J51" s="29" t="str"/>
      <x:c r="K51" s="30" t="str"/>
      <x:c r="L51" s="29" t="str"/>
      <x:c r="M51" s="29" t="str"/>
      <x:c r="N51" s="29" t="str"/>
      <x:c r="O51" s="28" t="str">
        <x:f>IF(F51="لم يُنفذ","لم يُنفذ",IF(F51="غير منطبق",IF(AND(M51&lt;&gt;"",N51&lt;&gt;""),"مراجعة قرار الاستبعاد","اعتماد عدم الانطباق مفقود"),IF(AND(D51&lt;&gt;"",E51&lt;&gt;"",G51&lt;&gt;"",H51&lt;&gt;"",K51&lt;&gt;"",L51&lt;&gt;"",N51&lt;&gt;"",OR(F51="ناجح",I51&lt;&gt;"")),"موثق","أدلة أو ملاحظة مفقودة")))</x:f>
        <x:v>لم يُنفذ</x:v>
      </x:c>
    </x:row>
    <x:row r="52" ht="48" customHeight="1">
      <x:c r="A52" s="28" t="str">
        <x:v>PAY-04-P</x:v>
      </x:c>
      <x:c r="B52" s="28" t="str">
        <x:v>الرواتب والتعويضات</x:v>
      </x:c>
      <x:c r="C52" s="28" t="str">
        <x:v>P0</x:v>
      </x:c>
      <x:c r="D52" s="29" t="str"/>
      <x:c r="E52" s="29" t="str"/>
      <x:c r="F52" s="29" t="str">
        <x:v>لم يُنفذ</x:v>
      </x:c>
      <x:c r="G52" s="29" t="str"/>
      <x:c r="H52" s="29" t="str"/>
      <x:c r="I52" s="29" t="str"/>
      <x:c r="J52" s="29" t="str"/>
      <x:c r="K52" s="30" t="str"/>
      <x:c r="L52" s="29" t="str"/>
      <x:c r="M52" s="29" t="str"/>
      <x:c r="N52" s="29" t="str"/>
      <x:c r="O52" s="28" t="str">
        <x:f>IF(F52="لم يُنفذ","لم يُنفذ",IF(F52="غير منطبق",IF(AND(M52&lt;&gt;"",N52&lt;&gt;""),"مراجعة قرار الاستبعاد","اعتماد عدم الانطباق مفقود"),IF(AND(D52&lt;&gt;"",E52&lt;&gt;"",G52&lt;&gt;"",H52&lt;&gt;"",K52&lt;&gt;"",L52&lt;&gt;"",N52&lt;&gt;"",OR(F52="ناجح",I52&lt;&gt;"")),"موثق","أدلة أو ملاحظة مفقودة")))</x:f>
        <x:v>لم يُنفذ</x:v>
      </x:c>
    </x:row>
    <x:row r="53" ht="48" customHeight="1">
      <x:c r="A53" s="28" t="str">
        <x:v>PAY-04-C</x:v>
      </x:c>
      <x:c r="B53" s="28" t="str">
        <x:v>الرواتب والتعويضات</x:v>
      </x:c>
      <x:c r="C53" s="28" t="str">
        <x:v>P0</x:v>
      </x:c>
      <x:c r="D53" s="29" t="str"/>
      <x:c r="E53" s="29" t="str"/>
      <x:c r="F53" s="29" t="str">
        <x:v>لم يُنفذ</x:v>
      </x:c>
      <x:c r="G53" s="29" t="str"/>
      <x:c r="H53" s="29" t="str"/>
      <x:c r="I53" s="29" t="str"/>
      <x:c r="J53" s="29" t="str"/>
      <x:c r="K53" s="30" t="str"/>
      <x:c r="L53" s="29" t="str"/>
      <x:c r="M53" s="29" t="str"/>
      <x:c r="N53" s="29" t="str"/>
      <x:c r="O53" s="28" t="str">
        <x:f>IF(F53="لم يُنفذ","لم يُنفذ",IF(F53="غير منطبق",IF(AND(M53&lt;&gt;"",N53&lt;&gt;""),"مراجعة قرار الاستبعاد","اعتماد عدم الانطباق مفقود"),IF(AND(D53&lt;&gt;"",E53&lt;&gt;"",G53&lt;&gt;"",H53&lt;&gt;"",K53&lt;&gt;"",L53&lt;&gt;"",N53&lt;&gt;"",OR(F53="ناجح",I53&lt;&gt;"")),"موثق","أدلة أو ملاحظة مفقودة")))</x:f>
        <x:v>لم يُنفذ</x:v>
      </x:c>
    </x:row>
    <x:row r="54" ht="48" customHeight="1">
      <x:c r="A54" s="28" t="str">
        <x:v>PAY-05-P</x:v>
      </x:c>
      <x:c r="B54" s="28" t="str">
        <x:v>الرواتب والتعويضات</x:v>
      </x:c>
      <x:c r="C54" s="28" t="str">
        <x:v>P0</x:v>
      </x:c>
      <x:c r="D54" s="29" t="str"/>
      <x:c r="E54" s="29" t="str"/>
      <x:c r="F54" s="29" t="str">
        <x:v>لم يُنفذ</x:v>
      </x:c>
      <x:c r="G54" s="29" t="str"/>
      <x:c r="H54" s="29" t="str"/>
      <x:c r="I54" s="29" t="str"/>
      <x:c r="J54" s="29" t="str"/>
      <x:c r="K54" s="30" t="str"/>
      <x:c r="L54" s="29" t="str"/>
      <x:c r="M54" s="29" t="str"/>
      <x:c r="N54" s="29" t="str"/>
      <x:c r="O54" s="28" t="str">
        <x:f>IF(F54="لم يُنفذ","لم يُنفذ",IF(F54="غير منطبق",IF(AND(M54&lt;&gt;"",N54&lt;&gt;""),"مراجعة قرار الاستبعاد","اعتماد عدم الانطباق مفقود"),IF(AND(D54&lt;&gt;"",E54&lt;&gt;"",G54&lt;&gt;"",H54&lt;&gt;"",K54&lt;&gt;"",L54&lt;&gt;"",N54&lt;&gt;"",OR(F54="ناجح",I54&lt;&gt;"")),"موثق","أدلة أو ملاحظة مفقودة")))</x:f>
        <x:v>لم يُنفذ</x:v>
      </x:c>
    </x:row>
    <x:row r="55" ht="48" customHeight="1">
      <x:c r="A55" s="28" t="str">
        <x:v>PAY-05-C</x:v>
      </x:c>
      <x:c r="B55" s="28" t="str">
        <x:v>الرواتب والتعويضات</x:v>
      </x:c>
      <x:c r="C55" s="28" t="str">
        <x:v>P0</x:v>
      </x:c>
      <x:c r="D55" s="29" t="str"/>
      <x:c r="E55" s="29" t="str"/>
      <x:c r="F55" s="29" t="str">
        <x:v>لم يُنفذ</x:v>
      </x:c>
      <x:c r="G55" s="29" t="str"/>
      <x:c r="H55" s="29" t="str"/>
      <x:c r="I55" s="29" t="str"/>
      <x:c r="J55" s="29" t="str"/>
      <x:c r="K55" s="30" t="str"/>
      <x:c r="L55" s="29" t="str"/>
      <x:c r="M55" s="29" t="str"/>
      <x:c r="N55" s="29" t="str"/>
      <x:c r="O55" s="28" t="str">
        <x:f>IF(F55="لم يُنفذ","لم يُنفذ",IF(F55="غير منطبق",IF(AND(M55&lt;&gt;"",N55&lt;&gt;""),"مراجعة قرار الاستبعاد","اعتماد عدم الانطباق مفقود"),IF(AND(D55&lt;&gt;"",E55&lt;&gt;"",G55&lt;&gt;"",H55&lt;&gt;"",K55&lt;&gt;"",L55&lt;&gt;"",N55&lt;&gt;"",OR(F55="ناجح",I55&lt;&gt;"")),"موثق","أدلة أو ملاحظة مفقودة")))</x:f>
        <x:v>لم يُنفذ</x:v>
      </x:c>
    </x:row>
    <x:row r="56" ht="48" customHeight="1">
      <x:c r="A56" s="28" t="str">
        <x:v>PAY-06-P</x:v>
      </x:c>
      <x:c r="B56" s="28" t="str">
        <x:v>الرواتب والتعويضات</x:v>
      </x:c>
      <x:c r="C56" s="28" t="str">
        <x:v>P0</x:v>
      </x:c>
      <x:c r="D56" s="29" t="str"/>
      <x:c r="E56" s="29" t="str"/>
      <x:c r="F56" s="29" t="str">
        <x:v>لم يُنفذ</x:v>
      </x:c>
      <x:c r="G56" s="29" t="str"/>
      <x:c r="H56" s="29" t="str"/>
      <x:c r="I56" s="29" t="str"/>
      <x:c r="J56" s="29" t="str"/>
      <x:c r="K56" s="30" t="str"/>
      <x:c r="L56" s="29" t="str"/>
      <x:c r="M56" s="29" t="str"/>
      <x:c r="N56" s="29" t="str"/>
      <x:c r="O56" s="28" t="str">
        <x:f>IF(F56="لم يُنفذ","لم يُنفذ",IF(F56="غير منطبق",IF(AND(M56&lt;&gt;"",N56&lt;&gt;""),"مراجعة قرار الاستبعاد","اعتماد عدم الانطباق مفقود"),IF(AND(D56&lt;&gt;"",E56&lt;&gt;"",G56&lt;&gt;"",H56&lt;&gt;"",K56&lt;&gt;"",L56&lt;&gt;"",N56&lt;&gt;"",OR(F56="ناجح",I56&lt;&gt;"")),"موثق","أدلة أو ملاحظة مفقودة")))</x:f>
        <x:v>لم يُنفذ</x:v>
      </x:c>
    </x:row>
    <x:row r="57" ht="48" customHeight="1">
      <x:c r="A57" s="28" t="str">
        <x:v>PAY-06-C</x:v>
      </x:c>
      <x:c r="B57" s="28" t="str">
        <x:v>الرواتب والتعويضات</x:v>
      </x:c>
      <x:c r="C57" s="28" t="str">
        <x:v>P0</x:v>
      </x:c>
      <x:c r="D57" s="29" t="str"/>
      <x:c r="E57" s="29" t="str"/>
      <x:c r="F57" s="29" t="str">
        <x:v>لم يُنفذ</x:v>
      </x:c>
      <x:c r="G57" s="29" t="str"/>
      <x:c r="H57" s="29" t="str"/>
      <x:c r="I57" s="29" t="str"/>
      <x:c r="J57" s="29" t="str"/>
      <x:c r="K57" s="30" t="str"/>
      <x:c r="L57" s="29" t="str"/>
      <x:c r="M57" s="29" t="str"/>
      <x:c r="N57" s="29" t="str"/>
      <x:c r="O57" s="28" t="str">
        <x:f>IF(F57="لم يُنفذ","لم يُنفذ",IF(F57="غير منطبق",IF(AND(M57&lt;&gt;"",N57&lt;&gt;""),"مراجعة قرار الاستبعاد","اعتماد عدم الانطباق مفقود"),IF(AND(D57&lt;&gt;"",E57&lt;&gt;"",G57&lt;&gt;"",H57&lt;&gt;"",K57&lt;&gt;"",L57&lt;&gt;"",N57&lt;&gt;"",OR(F57="ناجح",I57&lt;&gt;"")),"موثق","أدلة أو ملاحظة مفقودة")))</x:f>
        <x:v>لم يُنفذ</x:v>
      </x:c>
    </x:row>
    <x:row r="58" ht="48" customHeight="1">
      <x:c r="A58" s="28" t="str">
        <x:v>PER-01-P</x:v>
      </x:c>
      <x:c r="B58" s="28" t="str">
        <x:v>إدارة الأداء</x:v>
      </x:c>
      <x:c r="C58" s="28" t="str">
        <x:v>P1</x:v>
      </x:c>
      <x:c r="D58" s="29" t="str"/>
      <x:c r="E58" s="29" t="str"/>
      <x:c r="F58" s="29" t="str">
        <x:v>لم يُنفذ</x:v>
      </x:c>
      <x:c r="G58" s="29" t="str"/>
      <x:c r="H58" s="29" t="str"/>
      <x:c r="I58" s="29" t="str"/>
      <x:c r="J58" s="29" t="str"/>
      <x:c r="K58" s="30" t="str"/>
      <x:c r="L58" s="29" t="str"/>
      <x:c r="M58" s="29" t="str"/>
      <x:c r="N58" s="29" t="str"/>
      <x:c r="O58" s="28" t="str">
        <x:f>IF(F58="لم يُنفذ","لم يُنفذ",IF(F58="غير منطبق",IF(AND(M58&lt;&gt;"",N58&lt;&gt;""),"مراجعة قرار الاستبعاد","اعتماد عدم الانطباق مفقود"),IF(AND(D58&lt;&gt;"",E58&lt;&gt;"",G58&lt;&gt;"",H58&lt;&gt;"",K58&lt;&gt;"",L58&lt;&gt;"",N58&lt;&gt;"",OR(F58="ناجح",I58&lt;&gt;"")),"موثق","أدلة أو ملاحظة مفقودة")))</x:f>
        <x:v>لم يُنفذ</x:v>
      </x:c>
    </x:row>
    <x:row r="59" ht="48" customHeight="1">
      <x:c r="A59" s="28" t="str">
        <x:v>PER-01-C</x:v>
      </x:c>
      <x:c r="B59" s="28" t="str">
        <x:v>إدارة الأداء</x:v>
      </x:c>
      <x:c r="C59" s="28" t="str">
        <x:v>P1</x:v>
      </x:c>
      <x:c r="D59" s="29" t="str"/>
      <x:c r="E59" s="29" t="str"/>
      <x:c r="F59" s="29" t="str">
        <x:v>لم يُنفذ</x:v>
      </x:c>
      <x:c r="G59" s="29" t="str"/>
      <x:c r="H59" s="29" t="str"/>
      <x:c r="I59" s="29" t="str"/>
      <x:c r="J59" s="29" t="str"/>
      <x:c r="K59" s="30" t="str"/>
      <x:c r="L59" s="29" t="str"/>
      <x:c r="M59" s="29" t="str"/>
      <x:c r="N59" s="29" t="str"/>
      <x:c r="O59" s="28" t="str">
        <x:f>IF(F59="لم يُنفذ","لم يُنفذ",IF(F59="غير منطبق",IF(AND(M59&lt;&gt;"",N59&lt;&gt;""),"مراجعة قرار الاستبعاد","اعتماد عدم الانطباق مفقود"),IF(AND(D59&lt;&gt;"",E59&lt;&gt;"",G59&lt;&gt;"",H59&lt;&gt;"",K59&lt;&gt;"",L59&lt;&gt;"",N59&lt;&gt;"",OR(F59="ناجح",I59&lt;&gt;"")),"موثق","أدلة أو ملاحظة مفقودة")))</x:f>
        <x:v>لم يُنفذ</x:v>
      </x:c>
    </x:row>
    <x:row r="60" ht="48" customHeight="1">
      <x:c r="A60" s="28" t="str">
        <x:v>PER-02-P</x:v>
      </x:c>
      <x:c r="B60" s="28" t="str">
        <x:v>إدارة الأداء</x:v>
      </x:c>
      <x:c r="C60" s="28" t="str">
        <x:v>P1</x:v>
      </x:c>
      <x:c r="D60" s="29" t="str"/>
      <x:c r="E60" s="29" t="str"/>
      <x:c r="F60" s="29" t="str">
        <x:v>لم يُنفذ</x:v>
      </x:c>
      <x:c r="G60" s="29" t="str"/>
      <x:c r="H60" s="29" t="str"/>
      <x:c r="I60" s="29" t="str"/>
      <x:c r="J60" s="29" t="str"/>
      <x:c r="K60" s="30" t="str"/>
      <x:c r="L60" s="29" t="str"/>
      <x:c r="M60" s="29" t="str"/>
      <x:c r="N60" s="29" t="str"/>
      <x:c r="O60" s="28" t="str">
        <x:f>IF(F60="لم يُنفذ","لم يُنفذ",IF(F60="غير منطبق",IF(AND(M60&lt;&gt;"",N60&lt;&gt;""),"مراجعة قرار الاستبعاد","اعتماد عدم الانطباق مفقود"),IF(AND(D60&lt;&gt;"",E60&lt;&gt;"",G60&lt;&gt;"",H60&lt;&gt;"",K60&lt;&gt;"",L60&lt;&gt;"",N60&lt;&gt;"",OR(F60="ناجح",I60&lt;&gt;"")),"موثق","أدلة أو ملاحظة مفقودة")))</x:f>
        <x:v>لم يُنفذ</x:v>
      </x:c>
    </x:row>
    <x:row r="61" ht="48" customHeight="1">
      <x:c r="A61" s="28" t="str">
        <x:v>PER-02-C</x:v>
      </x:c>
      <x:c r="B61" s="28" t="str">
        <x:v>إدارة الأداء</x:v>
      </x:c>
      <x:c r="C61" s="28" t="str">
        <x:v>P1</x:v>
      </x:c>
      <x:c r="D61" s="29" t="str"/>
      <x:c r="E61" s="29" t="str"/>
      <x:c r="F61" s="29" t="str">
        <x:v>لم يُنفذ</x:v>
      </x:c>
      <x:c r="G61" s="29" t="str"/>
      <x:c r="H61" s="29" t="str"/>
      <x:c r="I61" s="29" t="str"/>
      <x:c r="J61" s="29" t="str"/>
      <x:c r="K61" s="30" t="str"/>
      <x:c r="L61" s="29" t="str"/>
      <x:c r="M61" s="29" t="str"/>
      <x:c r="N61" s="29" t="str"/>
      <x:c r="O61" s="28" t="str">
        <x:f>IF(F61="لم يُنفذ","لم يُنفذ",IF(F61="غير منطبق",IF(AND(M61&lt;&gt;"",N61&lt;&gt;""),"مراجعة قرار الاستبعاد","اعتماد عدم الانطباق مفقود"),IF(AND(D61&lt;&gt;"",E61&lt;&gt;"",G61&lt;&gt;"",H61&lt;&gt;"",K61&lt;&gt;"",L61&lt;&gt;"",N61&lt;&gt;"",OR(F61="ناجح",I61&lt;&gt;"")),"موثق","أدلة أو ملاحظة مفقودة")))</x:f>
        <x:v>لم يُنفذ</x:v>
      </x:c>
    </x:row>
    <x:row r="62" ht="48" customHeight="1">
      <x:c r="A62" s="28" t="str">
        <x:v>PER-03-P</x:v>
      </x:c>
      <x:c r="B62" s="28" t="str">
        <x:v>إدارة الأداء</x:v>
      </x:c>
      <x:c r="C62" s="28" t="str">
        <x:v>P1</x:v>
      </x:c>
      <x:c r="D62" s="29" t="str"/>
      <x:c r="E62" s="29" t="str"/>
      <x:c r="F62" s="29" t="str">
        <x:v>لم يُنفذ</x:v>
      </x:c>
      <x:c r="G62" s="29" t="str"/>
      <x:c r="H62" s="29" t="str"/>
      <x:c r="I62" s="29" t="str"/>
      <x:c r="J62" s="29" t="str"/>
      <x:c r="K62" s="30" t="str"/>
      <x:c r="L62" s="29" t="str"/>
      <x:c r="M62" s="29" t="str"/>
      <x:c r="N62" s="29" t="str"/>
      <x:c r="O62" s="28" t="str">
        <x:f>IF(F62="لم يُنفذ","لم يُنفذ",IF(F62="غير منطبق",IF(AND(M62&lt;&gt;"",N62&lt;&gt;""),"مراجعة قرار الاستبعاد","اعتماد عدم الانطباق مفقود"),IF(AND(D62&lt;&gt;"",E62&lt;&gt;"",G62&lt;&gt;"",H62&lt;&gt;"",K62&lt;&gt;"",L62&lt;&gt;"",N62&lt;&gt;"",OR(F62="ناجح",I62&lt;&gt;"")),"موثق","أدلة أو ملاحظة مفقودة")))</x:f>
        <x:v>لم يُنفذ</x:v>
      </x:c>
    </x:row>
    <x:row r="63" ht="48" customHeight="1">
      <x:c r="A63" s="28" t="str">
        <x:v>PER-03-C</x:v>
      </x:c>
      <x:c r="B63" s="28" t="str">
        <x:v>إدارة الأداء</x:v>
      </x:c>
      <x:c r="C63" s="28" t="str">
        <x:v>P1</x:v>
      </x:c>
      <x:c r="D63" s="29" t="str"/>
      <x:c r="E63" s="29" t="str"/>
      <x:c r="F63" s="29" t="str">
        <x:v>لم يُنفذ</x:v>
      </x:c>
      <x:c r="G63" s="29" t="str"/>
      <x:c r="H63" s="29" t="str"/>
      <x:c r="I63" s="29" t="str"/>
      <x:c r="J63" s="29" t="str"/>
      <x:c r="K63" s="30" t="str"/>
      <x:c r="L63" s="29" t="str"/>
      <x:c r="M63" s="29" t="str"/>
      <x:c r="N63" s="29" t="str"/>
      <x:c r="O63" s="28" t="str">
        <x:f>IF(F63="لم يُنفذ","لم يُنفذ",IF(F63="غير منطبق",IF(AND(M63&lt;&gt;"",N63&lt;&gt;""),"مراجعة قرار الاستبعاد","اعتماد عدم الانطباق مفقود"),IF(AND(D63&lt;&gt;"",E63&lt;&gt;"",G63&lt;&gt;"",H63&lt;&gt;"",K63&lt;&gt;"",L63&lt;&gt;"",N63&lt;&gt;"",OR(F63="ناجح",I63&lt;&gt;"")),"موثق","أدلة أو ملاحظة مفقودة")))</x:f>
        <x:v>لم يُنفذ</x:v>
      </x:c>
    </x:row>
    <x:row r="64" ht="48" customHeight="1">
      <x:c r="A64" s="28" t="str">
        <x:v>TRN-01-P</x:v>
      </x:c>
      <x:c r="B64" s="28" t="str">
        <x:v>التدريب والتطوير</x:v>
      </x:c>
      <x:c r="C64" s="28" t="str">
        <x:v>P1</x:v>
      </x:c>
      <x:c r="D64" s="29" t="str"/>
      <x:c r="E64" s="29" t="str"/>
      <x:c r="F64" s="29" t="str">
        <x:v>لم يُنفذ</x:v>
      </x:c>
      <x:c r="G64" s="29" t="str"/>
      <x:c r="H64" s="29" t="str"/>
      <x:c r="I64" s="29" t="str"/>
      <x:c r="J64" s="29" t="str"/>
      <x:c r="K64" s="30" t="str"/>
      <x:c r="L64" s="29" t="str"/>
      <x:c r="M64" s="29" t="str"/>
      <x:c r="N64" s="29" t="str"/>
      <x:c r="O64" s="28" t="str">
        <x:f>IF(F64="لم يُنفذ","لم يُنفذ",IF(F64="غير منطبق",IF(AND(M64&lt;&gt;"",N64&lt;&gt;""),"مراجعة قرار الاستبعاد","اعتماد عدم الانطباق مفقود"),IF(AND(D64&lt;&gt;"",E64&lt;&gt;"",G64&lt;&gt;"",H64&lt;&gt;"",K64&lt;&gt;"",L64&lt;&gt;"",N64&lt;&gt;"",OR(F64="ناجح",I64&lt;&gt;"")),"موثق","أدلة أو ملاحظة مفقودة")))</x:f>
        <x:v>لم يُنفذ</x:v>
      </x:c>
    </x:row>
    <x:row r="65" ht="48" customHeight="1">
      <x:c r="A65" s="28" t="str">
        <x:v>TRN-01-C</x:v>
      </x:c>
      <x:c r="B65" s="28" t="str">
        <x:v>التدريب والتطوير</x:v>
      </x:c>
      <x:c r="C65" s="28" t="str">
        <x:v>P1</x:v>
      </x:c>
      <x:c r="D65" s="29" t="str"/>
      <x:c r="E65" s="29" t="str"/>
      <x:c r="F65" s="29" t="str">
        <x:v>لم يُنفذ</x:v>
      </x:c>
      <x:c r="G65" s="29" t="str"/>
      <x:c r="H65" s="29" t="str"/>
      <x:c r="I65" s="29" t="str"/>
      <x:c r="J65" s="29" t="str"/>
      <x:c r="K65" s="30" t="str"/>
      <x:c r="L65" s="29" t="str"/>
      <x:c r="M65" s="29" t="str"/>
      <x:c r="N65" s="29" t="str"/>
      <x:c r="O65" s="28" t="str">
        <x:f>IF(F65="لم يُنفذ","لم يُنفذ",IF(F65="غير منطبق",IF(AND(M65&lt;&gt;"",N65&lt;&gt;""),"مراجعة قرار الاستبعاد","اعتماد عدم الانطباق مفقود"),IF(AND(D65&lt;&gt;"",E65&lt;&gt;"",G65&lt;&gt;"",H65&lt;&gt;"",K65&lt;&gt;"",L65&lt;&gt;"",N65&lt;&gt;"",OR(F65="ناجح",I65&lt;&gt;"")),"موثق","أدلة أو ملاحظة مفقودة")))</x:f>
        <x:v>لم يُنفذ</x:v>
      </x:c>
    </x:row>
    <x:row r="66" ht="48" customHeight="1">
      <x:c r="A66" s="28" t="str">
        <x:v>TRN-02-P</x:v>
      </x:c>
      <x:c r="B66" s="28" t="str">
        <x:v>التدريب والتطوير</x:v>
      </x:c>
      <x:c r="C66" s="28" t="str">
        <x:v>P1</x:v>
      </x:c>
      <x:c r="D66" s="29" t="str"/>
      <x:c r="E66" s="29" t="str"/>
      <x:c r="F66" s="29" t="str">
        <x:v>لم يُنفذ</x:v>
      </x:c>
      <x:c r="G66" s="29" t="str"/>
      <x:c r="H66" s="29" t="str"/>
      <x:c r="I66" s="29" t="str"/>
      <x:c r="J66" s="29" t="str"/>
      <x:c r="K66" s="30" t="str"/>
      <x:c r="L66" s="29" t="str"/>
      <x:c r="M66" s="29" t="str"/>
      <x:c r="N66" s="29" t="str"/>
      <x:c r="O66" s="28" t="str">
        <x:f>IF(F66="لم يُنفذ","لم يُنفذ",IF(F66="غير منطبق",IF(AND(M66&lt;&gt;"",N66&lt;&gt;""),"مراجعة قرار الاستبعاد","اعتماد عدم الانطباق مفقود"),IF(AND(D66&lt;&gt;"",E66&lt;&gt;"",G66&lt;&gt;"",H66&lt;&gt;"",K66&lt;&gt;"",L66&lt;&gt;"",N66&lt;&gt;"",OR(F66="ناجح",I66&lt;&gt;"")),"موثق","أدلة أو ملاحظة مفقودة")))</x:f>
        <x:v>لم يُنفذ</x:v>
      </x:c>
    </x:row>
    <x:row r="67" ht="48" customHeight="1">
      <x:c r="A67" s="28" t="str">
        <x:v>TRN-02-C</x:v>
      </x:c>
      <x:c r="B67" s="28" t="str">
        <x:v>التدريب والتطوير</x:v>
      </x:c>
      <x:c r="C67" s="28" t="str">
        <x:v>P1</x:v>
      </x:c>
      <x:c r="D67" s="29" t="str"/>
      <x:c r="E67" s="29" t="str"/>
      <x:c r="F67" s="29" t="str">
        <x:v>لم يُنفذ</x:v>
      </x:c>
      <x:c r="G67" s="29" t="str"/>
      <x:c r="H67" s="29" t="str"/>
      <x:c r="I67" s="29" t="str"/>
      <x:c r="J67" s="29" t="str"/>
      <x:c r="K67" s="30" t="str"/>
      <x:c r="L67" s="29" t="str"/>
      <x:c r="M67" s="29" t="str"/>
      <x:c r="N67" s="29" t="str"/>
      <x:c r="O67" s="28" t="str">
        <x:f>IF(F67="لم يُنفذ","لم يُنفذ",IF(F67="غير منطبق",IF(AND(M67&lt;&gt;"",N67&lt;&gt;""),"مراجعة قرار الاستبعاد","اعتماد عدم الانطباق مفقود"),IF(AND(D67&lt;&gt;"",E67&lt;&gt;"",G67&lt;&gt;"",H67&lt;&gt;"",K67&lt;&gt;"",L67&lt;&gt;"",N67&lt;&gt;"",OR(F67="ناجح",I67&lt;&gt;"")),"موثق","أدلة أو ملاحظة مفقودة")))</x:f>
        <x:v>لم يُنفذ</x:v>
      </x:c>
    </x:row>
    <x:row r="68" ht="48" customHeight="1">
      <x:c r="A68" s="28" t="str">
        <x:v>TRN-03-P</x:v>
      </x:c>
      <x:c r="B68" s="28" t="str">
        <x:v>التدريب والتطوير</x:v>
      </x:c>
      <x:c r="C68" s="28" t="str">
        <x:v>P1</x:v>
      </x:c>
      <x:c r="D68" s="29" t="str"/>
      <x:c r="E68" s="29" t="str"/>
      <x:c r="F68" s="29" t="str">
        <x:v>لم يُنفذ</x:v>
      </x:c>
      <x:c r="G68" s="29" t="str"/>
      <x:c r="H68" s="29" t="str"/>
      <x:c r="I68" s="29" t="str"/>
      <x:c r="J68" s="29" t="str"/>
      <x:c r="K68" s="30" t="str"/>
      <x:c r="L68" s="29" t="str"/>
      <x:c r="M68" s="29" t="str"/>
      <x:c r="N68" s="29" t="str"/>
      <x:c r="O68" s="28" t="str">
        <x:f>IF(F68="لم يُنفذ","لم يُنفذ",IF(F68="غير منطبق",IF(AND(M68&lt;&gt;"",N68&lt;&gt;""),"مراجعة قرار الاستبعاد","اعتماد عدم الانطباق مفقود"),IF(AND(D68&lt;&gt;"",E68&lt;&gt;"",G68&lt;&gt;"",H68&lt;&gt;"",K68&lt;&gt;"",L68&lt;&gt;"",N68&lt;&gt;"",OR(F68="ناجح",I68&lt;&gt;"")),"موثق","أدلة أو ملاحظة مفقودة")))</x:f>
        <x:v>لم يُنفذ</x:v>
      </x:c>
    </x:row>
    <x:row r="69" ht="48" customHeight="1">
      <x:c r="A69" s="28" t="str">
        <x:v>TRN-03-C</x:v>
      </x:c>
      <x:c r="B69" s="28" t="str">
        <x:v>التدريب والتطوير</x:v>
      </x:c>
      <x:c r="C69" s="28" t="str">
        <x:v>P1</x:v>
      </x:c>
      <x:c r="D69" s="29" t="str"/>
      <x:c r="E69" s="29" t="str"/>
      <x:c r="F69" s="29" t="str">
        <x:v>لم يُنفذ</x:v>
      </x:c>
      <x:c r="G69" s="29" t="str"/>
      <x:c r="H69" s="29" t="str"/>
      <x:c r="I69" s="29" t="str"/>
      <x:c r="J69" s="29" t="str"/>
      <x:c r="K69" s="30" t="str"/>
      <x:c r="L69" s="29" t="str"/>
      <x:c r="M69" s="29" t="str"/>
      <x:c r="N69" s="29" t="str"/>
      <x:c r="O69" s="28" t="str">
        <x:f>IF(F69="لم يُنفذ","لم يُنفذ",IF(F69="غير منطبق",IF(AND(M69&lt;&gt;"",N69&lt;&gt;""),"مراجعة قرار الاستبعاد","اعتماد عدم الانطباق مفقود"),IF(AND(D69&lt;&gt;"",E69&lt;&gt;"",G69&lt;&gt;"",H69&lt;&gt;"",K69&lt;&gt;"",L69&lt;&gt;"",N69&lt;&gt;"",OR(F69="ناجح",I69&lt;&gt;"")),"موثق","أدلة أو ملاحظة مفقودة")))</x:f>
        <x:v>لم يُنفذ</x:v>
      </x:c>
    </x:row>
    <x:row r="70" ht="48" customHeight="1">
      <x:c r="A70" s="28" t="str">
        <x:v>CTL-01-P</x:v>
      </x:c>
      <x:c r="B70" s="28" t="str">
        <x:v>التقارير والضوابط المشتركة</x:v>
      </x:c>
      <x:c r="C70" s="28" t="str">
        <x:v>P1</x:v>
      </x:c>
      <x:c r="D70" s="29" t="str"/>
      <x:c r="E70" s="29" t="str"/>
      <x:c r="F70" s="29" t="str">
        <x:v>لم يُنفذ</x:v>
      </x:c>
      <x:c r="G70" s="29" t="str"/>
      <x:c r="H70" s="29" t="str"/>
      <x:c r="I70" s="29" t="str"/>
      <x:c r="J70" s="29" t="str"/>
      <x:c r="K70" s="30" t="str"/>
      <x:c r="L70" s="29" t="str"/>
      <x:c r="M70" s="29" t="str"/>
      <x:c r="N70" s="29" t="str"/>
      <x:c r="O70" s="28" t="str">
        <x:f>IF(F70="لم يُنفذ","لم يُنفذ",IF(F70="غير منطبق",IF(AND(M70&lt;&gt;"",N70&lt;&gt;""),"مراجعة قرار الاستبعاد","اعتماد عدم الانطباق مفقود"),IF(AND(D70&lt;&gt;"",E70&lt;&gt;"",G70&lt;&gt;"",H70&lt;&gt;"",K70&lt;&gt;"",L70&lt;&gt;"",N70&lt;&gt;"",OR(F70="ناجح",I70&lt;&gt;"")),"موثق","أدلة أو ملاحظة مفقودة")))</x:f>
        <x:v>لم يُنفذ</x:v>
      </x:c>
    </x:row>
    <x:row r="71" ht="48" customHeight="1">
      <x:c r="A71" s="28" t="str">
        <x:v>CTL-01-C</x:v>
      </x:c>
      <x:c r="B71" s="28" t="str">
        <x:v>التقارير والضوابط المشتركة</x:v>
      </x:c>
      <x:c r="C71" s="28" t="str">
        <x:v>P1</x:v>
      </x:c>
      <x:c r="D71" s="29" t="str"/>
      <x:c r="E71" s="29" t="str"/>
      <x:c r="F71" s="29" t="str">
        <x:v>لم يُنفذ</x:v>
      </x:c>
      <x:c r="G71" s="29" t="str"/>
      <x:c r="H71" s="29" t="str"/>
      <x:c r="I71" s="29" t="str"/>
      <x:c r="J71" s="29" t="str"/>
      <x:c r="K71" s="30" t="str"/>
      <x:c r="L71" s="29" t="str"/>
      <x:c r="M71" s="29" t="str"/>
      <x:c r="N71" s="29" t="str"/>
      <x:c r="O71" s="28" t="str">
        <x:f>IF(F71="لم يُنفذ","لم يُنفذ",IF(F71="غير منطبق",IF(AND(M71&lt;&gt;"",N71&lt;&gt;""),"مراجعة قرار الاستبعاد","اعتماد عدم الانطباق مفقود"),IF(AND(D71&lt;&gt;"",E71&lt;&gt;"",G71&lt;&gt;"",H71&lt;&gt;"",K71&lt;&gt;"",L71&lt;&gt;"",N71&lt;&gt;"",OR(F71="ناجح",I71&lt;&gt;"")),"موثق","أدلة أو ملاحظة مفقودة")))</x:f>
        <x:v>لم يُنفذ</x:v>
      </x:c>
    </x:row>
    <x:row r="72" ht="48" customHeight="1">
      <x:c r="A72" s="28" t="str">
        <x:v>CTL-02-P</x:v>
      </x:c>
      <x:c r="B72" s="28" t="str">
        <x:v>التقارير والضوابط المشتركة</x:v>
      </x:c>
      <x:c r="C72" s="28" t="str">
        <x:v>P0</x:v>
      </x:c>
      <x:c r="D72" s="29" t="str"/>
      <x:c r="E72" s="29" t="str"/>
      <x:c r="F72" s="29" t="str">
        <x:v>لم يُنفذ</x:v>
      </x:c>
      <x:c r="G72" s="29" t="str"/>
      <x:c r="H72" s="29" t="str"/>
      <x:c r="I72" s="29" t="str"/>
      <x:c r="J72" s="29" t="str"/>
      <x:c r="K72" s="30" t="str"/>
      <x:c r="L72" s="29" t="str"/>
      <x:c r="M72" s="29" t="str"/>
      <x:c r="N72" s="29" t="str"/>
      <x:c r="O72" s="28" t="str">
        <x:f>IF(F72="لم يُنفذ","لم يُنفذ",IF(F72="غير منطبق",IF(AND(M72&lt;&gt;"",N72&lt;&gt;""),"مراجعة قرار الاستبعاد","اعتماد عدم الانطباق مفقود"),IF(AND(D72&lt;&gt;"",E72&lt;&gt;"",G72&lt;&gt;"",H72&lt;&gt;"",K72&lt;&gt;"",L72&lt;&gt;"",N72&lt;&gt;"",OR(F72="ناجح",I72&lt;&gt;"")),"موثق","أدلة أو ملاحظة مفقودة")))</x:f>
        <x:v>لم يُنفذ</x:v>
      </x:c>
    </x:row>
    <x:row r="73" ht="48" customHeight="1">
      <x:c r="A73" s="28" t="str">
        <x:v>CTL-02-C</x:v>
      </x:c>
      <x:c r="B73" s="28" t="str">
        <x:v>التقارير والضوابط المشتركة</x:v>
      </x:c>
      <x:c r="C73" s="28" t="str">
        <x:v>P0</x:v>
      </x:c>
      <x:c r="D73" s="29" t="str"/>
      <x:c r="E73" s="29" t="str"/>
      <x:c r="F73" s="29" t="str">
        <x:v>لم يُنفذ</x:v>
      </x:c>
      <x:c r="G73" s="29" t="str"/>
      <x:c r="H73" s="29" t="str"/>
      <x:c r="I73" s="29" t="str"/>
      <x:c r="J73" s="29" t="str"/>
      <x:c r="K73" s="30" t="str"/>
      <x:c r="L73" s="29" t="str"/>
      <x:c r="M73" s="29" t="str"/>
      <x:c r="N73" s="29" t="str"/>
      <x:c r="O73" s="28" t="str">
        <x:f>IF(F73="لم يُنفذ","لم يُنفذ",IF(F73="غير منطبق",IF(AND(M73&lt;&gt;"",N73&lt;&gt;""),"مراجعة قرار الاستبعاد","اعتماد عدم الانطباق مفقود"),IF(AND(D73&lt;&gt;"",E73&lt;&gt;"",G73&lt;&gt;"",H73&lt;&gt;"",K73&lt;&gt;"",L73&lt;&gt;"",N73&lt;&gt;"",OR(F73="ناجح",I73&lt;&gt;"")),"موثق","أدلة أو ملاحظة مفقودة")))</x:f>
        <x:v>لم يُنفذ</x:v>
      </x:c>
    </x:row>
    <x:row r="74" ht="48" customHeight="1">
      <x:c r="A74" s="28" t="str">
        <x:v>CTL-03-P</x:v>
      </x:c>
      <x:c r="B74" s="28" t="str">
        <x:v>التقارير والضوابط المشتركة</x:v>
      </x:c>
      <x:c r="C74" s="28" t="str">
        <x:v>P1</x:v>
      </x:c>
      <x:c r="D74" s="29" t="str"/>
      <x:c r="E74" s="29" t="str"/>
      <x:c r="F74" s="29" t="str">
        <x:v>لم يُنفذ</x:v>
      </x:c>
      <x:c r="G74" s="29" t="str"/>
      <x:c r="H74" s="29" t="str"/>
      <x:c r="I74" s="29" t="str"/>
      <x:c r="J74" s="29" t="str"/>
      <x:c r="K74" s="30" t="str"/>
      <x:c r="L74" s="29" t="str"/>
      <x:c r="M74" s="29" t="str"/>
      <x:c r="N74" s="29" t="str"/>
      <x:c r="O74" s="28" t="str">
        <x:f>IF(F74="لم يُنفذ","لم يُنفذ",IF(F74="غير منطبق",IF(AND(M74&lt;&gt;"",N74&lt;&gt;""),"مراجعة قرار الاستبعاد","اعتماد عدم الانطباق مفقود"),IF(AND(D74&lt;&gt;"",E74&lt;&gt;"",G74&lt;&gt;"",H74&lt;&gt;"",K74&lt;&gt;"",L74&lt;&gt;"",N74&lt;&gt;"",OR(F74="ناجح",I74&lt;&gt;"")),"موثق","أدلة أو ملاحظة مفقودة")))</x:f>
        <x:v>لم يُنفذ</x:v>
      </x:c>
    </x:row>
    <x:row r="75" ht="48" customHeight="1">
      <x:c r="A75" s="28" t="str">
        <x:v>CTL-03-C</x:v>
      </x:c>
      <x:c r="B75" s="28" t="str">
        <x:v>التقارير والضوابط المشتركة</x:v>
      </x:c>
      <x:c r="C75" s="28" t="str">
        <x:v>P1</x:v>
      </x:c>
      <x:c r="D75" s="29" t="str"/>
      <x:c r="E75" s="29" t="str"/>
      <x:c r="F75" s="29" t="str">
        <x:v>لم يُنفذ</x:v>
      </x:c>
      <x:c r="G75" s="29" t="str"/>
      <x:c r="H75" s="29" t="str"/>
      <x:c r="I75" s="29" t="str"/>
      <x:c r="J75" s="29" t="str"/>
      <x:c r="K75" s="30" t="str"/>
      <x:c r="L75" s="29" t="str"/>
      <x:c r="M75" s="29" t="str"/>
      <x:c r="N75" s="29" t="str"/>
      <x:c r="O75" s="28" t="str">
        <x:f>IF(F75="لم يُنفذ","لم يُنفذ",IF(F75="غير منطبق",IF(AND(M75&lt;&gt;"",N75&lt;&gt;""),"مراجعة قرار الاستبعاد","اعتماد عدم الانطباق مفقود"),IF(AND(D75&lt;&gt;"",E75&lt;&gt;"",G75&lt;&gt;"",H75&lt;&gt;"",K75&lt;&gt;"",L75&lt;&gt;"",N75&lt;&gt;"",OR(F75="ناجح",I75&lt;&gt;"")),"موثق","أدلة أو ملاحظة مفقودة")))</x:f>
        <x:v>لم يُنفذ</x:v>
      </x:c>
    </x:row>
    <x:row r="76" ht="48" customHeight="1">
      <x:c r="A76" s="28" t="str">
        <x:v>CTL-04-P</x:v>
      </x:c>
      <x:c r="B76" s="28" t="str">
        <x:v>التقارير والضوابط المشتركة</x:v>
      </x:c>
      <x:c r="C76" s="28" t="str">
        <x:v>P0</x:v>
      </x:c>
      <x:c r="D76" s="29" t="str"/>
      <x:c r="E76" s="29" t="str"/>
      <x:c r="F76" s="29" t="str">
        <x:v>لم يُنفذ</x:v>
      </x:c>
      <x:c r="G76" s="29" t="str"/>
      <x:c r="H76" s="29" t="str"/>
      <x:c r="I76" s="29" t="str"/>
      <x:c r="J76" s="29" t="str"/>
      <x:c r="K76" s="30" t="str"/>
      <x:c r="L76" s="29" t="str"/>
      <x:c r="M76" s="29" t="str"/>
      <x:c r="N76" s="29" t="str"/>
      <x:c r="O76" s="28" t="str">
        <x:f>IF(F76="لم يُنفذ","لم يُنفذ",IF(F76="غير منطبق",IF(AND(M76&lt;&gt;"",N76&lt;&gt;""),"مراجعة قرار الاستبعاد","اعتماد عدم الانطباق مفقود"),IF(AND(D76&lt;&gt;"",E76&lt;&gt;"",G76&lt;&gt;"",H76&lt;&gt;"",K76&lt;&gt;"",L76&lt;&gt;"",N76&lt;&gt;"",OR(F76="ناجح",I76&lt;&gt;"")),"موثق","أدلة أو ملاحظة مفقودة")))</x:f>
        <x:v>لم يُنفذ</x:v>
      </x:c>
    </x:row>
    <x:row r="77" ht="48" customHeight="1">
      <x:c r="A77" s="28" t="str">
        <x:v>CTL-04-C</x:v>
      </x:c>
      <x:c r="B77" s="28" t="str">
        <x:v>التقارير والضوابط المشتركة</x:v>
      </x:c>
      <x:c r="C77" s="28" t="str">
        <x:v>P0</x:v>
      </x:c>
      <x:c r="D77" s="29" t="str"/>
      <x:c r="E77" s="29" t="str"/>
      <x:c r="F77" s="29" t="str">
        <x:v>لم يُنفذ</x:v>
      </x:c>
      <x:c r="G77" s="29" t="str"/>
      <x:c r="H77" s="29" t="str"/>
      <x:c r="I77" s="29" t="str"/>
      <x:c r="J77" s="29" t="str"/>
      <x:c r="K77" s="30" t="str"/>
      <x:c r="L77" s="29" t="str"/>
      <x:c r="M77" s="29" t="str"/>
      <x:c r="N77" s="29" t="str"/>
      <x:c r="O77" s="28" t="str">
        <x:f>IF(F77="لم يُنفذ","لم يُنفذ",IF(F77="غير منطبق",IF(AND(M77&lt;&gt;"",N77&lt;&gt;""),"مراجعة قرار الاستبعاد","اعتماد عدم الانطباق مفقود"),IF(AND(D77&lt;&gt;"",E77&lt;&gt;"",G77&lt;&gt;"",H77&lt;&gt;"",K77&lt;&gt;"",L77&lt;&gt;"",N77&lt;&gt;"",OR(F77="ناجح",I77&lt;&gt;"")),"موثق","أدلة أو ملاحظة مفقودة")))</x:f>
        <x:v>لم يُنفذ</x:v>
      </x:c>
    </x:row>
    <x:row r="78" ht="48" customHeight="1">
      <x:c r="A78" s="28" t="str">
        <x:v>E2E-01</x:v>
      </x:c>
      <x:c r="B78" s="28" t="str">
        <x:v>مسارات العمل المتكاملة</x:v>
      </x:c>
      <x:c r="C78" s="28" t="str">
        <x:v>P0</x:v>
      </x:c>
      <x:c r="D78" s="29" t="str"/>
      <x:c r="E78" s="29" t="str"/>
      <x:c r="F78" s="29" t="str">
        <x:v>لم يُنفذ</x:v>
      </x:c>
      <x:c r="G78" s="29" t="str"/>
      <x:c r="H78" s="29" t="str"/>
      <x:c r="I78" s="29" t="str"/>
      <x:c r="J78" s="29" t="str"/>
      <x:c r="K78" s="30" t="str"/>
      <x:c r="L78" s="29" t="str"/>
      <x:c r="M78" s="29" t="str"/>
      <x:c r="N78" s="29" t="str"/>
      <x:c r="O78" s="28" t="str">
        <x:f>IF(F78="لم يُنفذ","لم يُنفذ",IF(F78="غير منطبق",IF(AND(M78&lt;&gt;"",N78&lt;&gt;""),"مراجعة قرار الاستبعاد","اعتماد عدم الانطباق مفقود"),IF(AND(D78&lt;&gt;"",E78&lt;&gt;"",G78&lt;&gt;"",H78&lt;&gt;"",K78&lt;&gt;"",L78&lt;&gt;"",N78&lt;&gt;"",OR(F78="ناجح",I78&lt;&gt;"")),"موثق","أدلة أو ملاحظة مفقودة")))</x:f>
        <x:v>لم يُنفذ</x:v>
      </x:c>
    </x:row>
    <x:row r="79" ht="48" customHeight="1">
      <x:c r="A79" s="28" t="str">
        <x:v>E2E-02</x:v>
      </x:c>
      <x:c r="B79" s="28" t="str">
        <x:v>مسارات العمل المتكاملة</x:v>
      </x:c>
      <x:c r="C79" s="28" t="str">
        <x:v>P0</x:v>
      </x:c>
      <x:c r="D79" s="29" t="str"/>
      <x:c r="E79" s="29" t="str"/>
      <x:c r="F79" s="29" t="str">
        <x:v>لم يُنفذ</x:v>
      </x:c>
      <x:c r="G79" s="29" t="str"/>
      <x:c r="H79" s="29" t="str"/>
      <x:c r="I79" s="29" t="str"/>
      <x:c r="J79" s="29" t="str"/>
      <x:c r="K79" s="30" t="str"/>
      <x:c r="L79" s="29" t="str"/>
      <x:c r="M79" s="29" t="str"/>
      <x:c r="N79" s="29" t="str"/>
      <x:c r="O79" s="28" t="str">
        <x:f>IF(F79="لم يُنفذ","لم يُنفذ",IF(F79="غير منطبق",IF(AND(M79&lt;&gt;"",N79&lt;&gt;""),"مراجعة قرار الاستبعاد","اعتماد عدم الانطباق مفقود"),IF(AND(D79&lt;&gt;"",E79&lt;&gt;"",G79&lt;&gt;"",H79&lt;&gt;"",K79&lt;&gt;"",L79&lt;&gt;"",N79&lt;&gt;"",OR(F79="ناجح",I79&lt;&gt;"")),"موثق","أدلة أو ملاحظة مفقودة")))</x:f>
        <x:v>لم يُنفذ</x:v>
      </x:c>
    </x:row>
    <x:row r="80" ht="48" customHeight="1">
      <x:c r="A80" s="28" t="str">
        <x:v>E2E-03</x:v>
      </x:c>
      <x:c r="B80" s="28" t="str">
        <x:v>مسارات العمل المتكاملة</x:v>
      </x:c>
      <x:c r="C80" s="28" t="str">
        <x:v>P0</x:v>
      </x:c>
      <x:c r="D80" s="29" t="str"/>
      <x:c r="E80" s="29" t="str"/>
      <x:c r="F80" s="29" t="str">
        <x:v>لم يُنفذ</x:v>
      </x:c>
      <x:c r="G80" s="29" t="str"/>
      <x:c r="H80" s="29" t="str"/>
      <x:c r="I80" s="29" t="str"/>
      <x:c r="J80" s="29" t="str"/>
      <x:c r="K80" s="30" t="str"/>
      <x:c r="L80" s="29" t="str"/>
      <x:c r="M80" s="29" t="str"/>
      <x:c r="N80" s="29" t="str"/>
      <x:c r="O80" s="28" t="str">
        <x:f>IF(F80="لم يُنفذ","لم يُنفذ",IF(F80="غير منطبق",IF(AND(M80&lt;&gt;"",N80&lt;&gt;""),"مراجعة قرار الاستبعاد","اعتماد عدم الانطباق مفقود"),IF(AND(D80&lt;&gt;"",E80&lt;&gt;"",G80&lt;&gt;"",H80&lt;&gt;"",K80&lt;&gt;"",L80&lt;&gt;"",N80&lt;&gt;"",OR(F80="ناجح",I80&lt;&gt;"")),"موثق","أدلة أو ملاحظة مفقودة")))</x:f>
        <x:v>لم يُنفذ</x:v>
      </x:c>
    </x:row>
    <x:row r="81" ht="48" customHeight="1">
      <x:c r="A81" s="28" t="str">
        <x:v>E2E-04</x:v>
      </x:c>
      <x:c r="B81" s="28" t="str">
        <x:v>مسارات العمل المتكاملة</x:v>
      </x:c>
      <x:c r="C81" s="28" t="str">
        <x:v>P0</x:v>
      </x:c>
      <x:c r="D81" s="29" t="str"/>
      <x:c r="E81" s="29" t="str"/>
      <x:c r="F81" s="29" t="str">
        <x:v>لم يُنفذ</x:v>
      </x:c>
      <x:c r="G81" s="29" t="str"/>
      <x:c r="H81" s="29" t="str"/>
      <x:c r="I81" s="29" t="str"/>
      <x:c r="J81" s="29" t="str"/>
      <x:c r="K81" s="30" t="str"/>
      <x:c r="L81" s="29" t="str"/>
      <x:c r="M81" s="29" t="str"/>
      <x:c r="N81" s="29" t="str"/>
      <x:c r="O81" s="28" t="str">
        <x:f>IF(F81="لم يُنفذ","لم يُنفذ",IF(F81="غير منطبق",IF(AND(M81&lt;&gt;"",N81&lt;&gt;""),"مراجعة قرار الاستبعاد","اعتماد عدم الانطباق مفقود"),IF(AND(D81&lt;&gt;"",E81&lt;&gt;"",G81&lt;&gt;"",H81&lt;&gt;"",K81&lt;&gt;"",L81&lt;&gt;"",N81&lt;&gt;"",OR(F81="ناجح",I81&lt;&gt;"")),"موثق","أدلة أو ملاحظة مفقودة")))</x:f>
        <x:v>لم يُنفذ</x:v>
      </x:c>
    </x:row>
  </x:sheetData>
  <x:conditionalFormatting sqref="F6:F81">
    <x:cfRule type="containsText" dxfId="6" priority="6" operator="containsText" text="فاشل"/>
    <x:cfRule type="containsText" dxfId="7" priority="7" operator="containsText" text="متعذر التنفيذ"/>
    <x:cfRule type="containsText" dxfId="8" priority="8" operator="containsText" text="لم يُنفذ"/>
    <x:cfRule type="containsText" dxfId="9" priority="9" operator="containsText" text="ناجح"/>
  </x:conditionalFormatting>
  <x:conditionalFormatting sqref="O6:O81">
    <x:cfRule type="containsText" dxfId="10" priority="10" operator="containsText" text="مفقود"/>
  </x:conditionalFormatting>
  <x:dataValidations count="1">
    <x:dataValidation type="list" sqref="F6:F81">
      <x:formula1>"لم يُنفذ,ناجح,فاشل,متعذر التنفيذ,غير منطبق"</x:formula1>
    </x:dataValidation>
  </x:dataValidations>
  <x:pageMargins left="0.7" right="0.7" top="0.75" bottom="0.75" header="0.3" footer="0.3"/>
  <x:tableParts count="1">
    <x:tablePart r:id="R68a57477ea3f46c8"/>
  </x:tableParts>
</x:worksheet>
</file>

<file path=xl/worksheets/sheet3.xml><?xml version="1.0" encoding="utf-8"?>
<x:worksheet xmlns:r="http://schemas.openxmlformats.org/officeDocument/2006/relationships" xmlns:x="http://schemas.openxmlformats.org/spreadsheetml/2006/main">
  <x:sheetViews>
    <x:sheetView showGridLines="0" workbookViewId="0" rightToLeft="1">
      <x:pane xSplit="1" ySplit="5" topLeftCell="B6" activePane="bottomRight" state="frozen"/>
    </x:sheetView>
  </x:sheetViews>
  <x:sheetFormatPr defaultRowHeight="15"/>
  <x:cols>
    <x:col min="1" max="1" width="17" hidden="0" customWidth="1"/>
    <x:col min="2" max="2" width="18" hidden="0" customWidth="1"/>
    <x:col min="3" max="3" width="38" hidden="0" customWidth="1"/>
    <x:col min="4" max="4" width="9" hidden="0" customWidth="1"/>
    <x:col min="5" max="5" width="10" hidden="0" customWidth="1"/>
    <x:col min="6" max="6" width="43" hidden="0" customWidth="1"/>
    <x:col min="7" max="7" width="48" hidden="0" customWidth="1"/>
    <x:col min="8" max="8" width="30" hidden="0" customWidth="1"/>
    <x:col min="9" max="9" width="90" hidden="0" customWidth="1"/>
    <x:col min="10" max="10" width="85" hidden="0" customWidth="1"/>
    <x:col min="11" max="11" width="55" hidden="0" customWidth="1"/>
  </x:cols>
  <x:sheetData>
    <x:row r="1">
      <x:c r="A1" s="25"/>
      <x:c r="B1" s="25"/>
      <x:c r="C1" s="25"/>
      <x:c r="D1" s="25"/>
      <x:c r="E1" s="25"/>
      <x:c r="F1" s="25"/>
      <x:c r="G1" s="25"/>
      <x:c r="H1" s="25"/>
      <x:c r="I1" s="25"/>
      <x:c r="J1" s="25"/>
      <x:c r="K1" s="25"/>
      <x:c r="L1" s="25"/>
      <x:c r="M1" s="25"/>
      <x:c r="N1" s="25"/>
      <x:c r="O1" s="25"/>
    </x:row>
    <x:row r="2" ht="23" customHeight="1">
      <x:c r="A2" s="26" t="str">
        <x:v>حالات اختبار الموارد البشرية</x:v>
      </x:c>
      <x:c r="B2" s="25"/>
      <x:c r="C2" s="25"/>
      <x:c r="D2" s="25"/>
      <x:c r="E2" s="25"/>
      <x:c r="F2" s="25"/>
      <x:c r="G2" s="25"/>
      <x:c r="H2" s="25"/>
      <x:c r="I2" s="25"/>
      <x:c r="J2" s="25"/>
      <x:c r="K2" s="25"/>
      <x:c r="L2" s="25"/>
      <x:c r="M2" s="25"/>
      <x:c r="N2" s="25"/>
      <x:c r="O2" s="25"/>
    </x:row>
    <x:row r="3">
      <x:c r="A3" s="25"/>
      <x:c r="B3" s="25"/>
      <x:c r="C3" s="25"/>
      <x:c r="D3" s="25"/>
      <x:c r="E3" s="25"/>
      <x:c r="F3" s="25"/>
      <x:c r="G3" s="25"/>
      <x:c r="H3" s="25"/>
      <x:c r="I3" s="25"/>
      <x:c r="J3" s="25"/>
      <x:c r="K3" s="25"/>
      <x:c r="L3" s="25"/>
      <x:c r="M3" s="25"/>
      <x:c r="N3" s="25"/>
      <x:c r="O3" s="25"/>
    </x:row>
    <x:row r="4">
      <x:c r="A4" s="25"/>
      <x:c r="B4" s="25"/>
      <x:c r="C4" s="25"/>
      <x:c r="D4" s="25"/>
      <x:c r="E4" s="25"/>
      <x:c r="F4" s="25"/>
      <x:c r="G4" s="25"/>
      <x:c r="H4" s="25"/>
      <x:c r="I4" s="25"/>
      <x:c r="J4" s="25"/>
      <x:c r="K4" s="25"/>
      <x:c r="L4" s="25"/>
      <x:c r="M4" s="25"/>
      <x:c r="N4" s="25"/>
      <x:c r="O4" s="25"/>
    </x:row>
    <x:row r="5" ht="48" customHeight="1">
      <x:c r="A5" s="27" t="str">
        <x:v>معرّف الاختبار</x:v>
      </x:c>
      <x:c r="B5" s="27" t="str">
        <x:v>حالة الاستخدام الرئيسية</x:v>
      </x:c>
      <x:c r="C5" s="27" t="str">
        <x:v>مجال العمل / المسؤول</x:v>
      </x:c>
      <x:c r="D5" s="27" t="str">
        <x:v>المرحلة</x:v>
      </x:c>
      <x:c r="E5" s="27" t="str">
        <x:v>الأولوية</x:v>
      </x:c>
      <x:c r="F5" s="27" t="str">
        <x:v>السيناريو</x:v>
      </x:c>
      <x:c r="G5" s="27" t="str">
        <x:v>مسارات الوصول</x:v>
      </x:c>
      <x:c r="H5" s="27" t="str">
        <x:v>معرّفات بيانات الاختبار المطلوبة</x:v>
      </x:c>
      <x:c r="I5" s="27" t="str">
        <x:v>الخطوات — جميع السيناريوهات المدرجة</x:v>
      </x:c>
      <x:c r="J5" s="27" t="str">
        <x:v>معايير القبول</x:v>
      </x:c>
      <x:c r="K5" s="27" t="str">
        <x:v>الأدلة المطلوبة</x:v>
      </x:c>
      <x:c r="L5" s="25"/>
      <x:c r="M5" s="25"/>
      <x:c r="N5" s="25"/>
      <x:c r="O5" s="25"/>
    </x:row>
    <x:row r="6" ht="190" customHeight="1">
      <x:c r="A6" s="28" t="str">
        <x:v>HR-01-P</x:v>
      </x:c>
      <x:c r="B6" s="28" t="str">
        <x:v>HR-01</x:v>
      </x:c>
      <x:c r="C6" s="28" t="str">
        <x:v>شؤون الموظفين وإدارة بياناتهم
مدير شؤون الموظفين</x:v>
      </x:c>
      <x:c r="D6" s="28" t="n">
        <x:v>1</x:v>
      </x:c>
      <x:c r="E6" s="28" t="str">
        <x:v>P1</x:v>
      </x:c>
      <x:c r="F6" s="28" t="str">
        <x:v>إدارة البيانات المرجعية للموارد البشرية — السيناريو الإيجابي</x:v>
      </x:c>
      <x:c r="G6" s="28" t="str">
        <x:v>/Employee/Position/List; /Employee/Specialization/List; /Employee/AcademicInistitution/List; /Employee/Teams</x:v>
      </x:c>
      <x:c r="H6" s="28" t="str">
        <x:v>ORG; USERS; PEOPLE</x:v>
      </x:c>
      <x:c r="I6" s="28" t="str">
        <x:v>أنشئ مسمى وظيفيًا وتخصصًا ومؤسسة تعليمية وفريقًا بأسماء اختبار تبدأ بـ UAT باللغتين. عدّل كل سجل ثم حدّث الصفحة. اختر هذه السجلات في إجراء الموظف أو الفريق المناسب وأعد فتح السجل المحفوظ.</x:v>
      </x:c>
      <x:c r="J6" s="28" t="str">
        <x:v>تُحفظ قيم السجلات الأربعة وتظهر السجلات المقصودة في قوائم الاختيار وعضوية الفريق ضمن الشركة الصحيحة.</x:v>
      </x:c>
      <x:c r="K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 s="25"/>
      <x:c r="M6" s="25"/>
      <x:c r="N6" s="25"/>
      <x:c r="O6" s="25"/>
    </x:row>
    <x:row r="7" ht="190" customHeight="1">
      <x:c r="A7" s="28" t="str">
        <x:v>HR-01-C</x:v>
      </x:c>
      <x:c r="B7" s="28" t="str">
        <x:v>HR-01</x:v>
      </x:c>
      <x:c r="C7" s="28" t="str">
        <x:v>شؤون الموظفين وإدارة بياناتهم
مدير شؤون الموظفين</x:v>
      </x:c>
      <x:c r="D7" s="28" t="n">
        <x:v>1</x:v>
      </x:c>
      <x:c r="E7" s="28" t="str">
        <x:v>P1</x:v>
      </x:c>
      <x:c r="F7" s="28" t="str">
        <x:v>إدارة البيانات المرجعية للموارد البشرية — سيناريو الضوابط</x:v>
      </x:c>
      <x:c r="G7" s="28" t="str">
        <x:v>/Employee/Position/List; /Employee/Specialization/List; /Employee/AcademicInistitution/List; /Employee/Teams</x:v>
      </x:c>
      <x:c r="H7" s="28" t="str">
        <x:v>ORG; USERS; PEOPLE</x:v>
      </x:c>
      <x:c r="I7" s="28" t="str">
        <x:v>بحساب القراءة فقط حاول إنشاء كل نوع وتعديله وحذفه. بحساب المختص أرسل مرجعًا تابعًا لشركة أخرى أو غير موجود عبر الطلب المناسب، ثم أعد فتح السجل الأصلي.</x:v>
      </x:c>
      <x:c r="J7" s="28" t="str">
        <x:v>تُرفض الكتابة غير المصرح بها والمراجع غير الصحيحة، وتبقى السجلات والعضويات الحالية دون تغيير.</x:v>
      </x:c>
      <x:c r="K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 s="25"/>
      <x:c r="M7" s="25"/>
      <x:c r="N7" s="25"/>
      <x:c r="O7" s="25"/>
    </x:row>
    <x:row r="8" ht="190" customHeight="1">
      <x:c r="A8" s="28" t="str">
        <x:v>HR-02-P</x:v>
      </x:c>
      <x:c r="B8" s="28" t="str">
        <x:v>HR-02</x:v>
      </x:c>
      <x:c r="C8" s="28" t="str">
        <x:v>شؤون الموظفين وإدارة بياناتهم
مدير شؤون الموظفين</x:v>
      </x:c>
      <x:c r="D8" s="28" t="n">
        <x:v>1</x:v>
      </x:c>
      <x:c r="E8" s="28" t="str">
        <x:v>P1</x:v>
      </x:c>
      <x:c r="F8" s="28" t="str">
        <x:v>إنشاء الموظف وتعديله والبحث عنه وعرضه — السيناريو الإيجابي</x:v>
      </x:c>
      <x:c r="G8" s="28" t="str">
        <x:v>/Employee/Employee/List; /Employee/Employee/Form/{Id:guid?}; /Employee/Employee/view/{Id:guid}; /Employee/Employee/360/{Id:guid}</x:v>
      </x:c>
      <x:c r="H8" s="28" t="str">
        <x:v>ORG; USERS; PEOPLE</x:v>
      </x:c>
      <x:c r="I8" s="28" t="str">
        <x:v>أنشئ EMP-NEW بالحقول المطلوبة والفرع والقسم والمسمى المحددة. عدّل بيانات الاتصال. ابحث بالاسم الاختباري الفريد وطبّق مرشحات الشركة والفرع والقسم. حدّث الصفحة وقارن القائمة والملف وعرض الموظف الشامل 360.</x:v>
      </x:c>
      <x:c r="J8" s="28" t="str">
        <x:v>يظهر الموظف المقصود فقط، وتتطابق التفاصيل والتعيينات المحفوظة بين جميع العروض وتبقى بعد التحديث.</x:v>
      </x:c>
      <x:c r="K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8" s="25"/>
      <x:c r="M8" s="25"/>
      <x:c r="N8" s="25"/>
      <x:c r="O8" s="25"/>
    </x:row>
    <x:row r="9" ht="190" customHeight="1">
      <x:c r="A9" s="28" t="str">
        <x:v>HR-02-C</x:v>
      </x:c>
      <x:c r="B9" s="28" t="str">
        <x:v>HR-02</x:v>
      </x:c>
      <x:c r="C9" s="28" t="str">
        <x:v>شؤون الموظفين وإدارة بياناتهم
مدير شؤون الموظفين</x:v>
      </x:c>
      <x:c r="D9" s="28" t="n">
        <x:v>1</x:v>
      </x:c>
      <x:c r="E9" s="28" t="str">
        <x:v>P1</x:v>
      </x:c>
      <x:c r="F9" s="28" t="str">
        <x:v>إنشاء الموظف وتعديله والبحث عنه وعرضه — سيناريو الضوابط</x:v>
      </x:c>
      <x:c r="G9" s="28" t="str">
        <x:v>/Employee/Employee/List; /Employee/Employee/Form/{Id:guid?}; /Employee/Employee/view/{Id:guid}; /Employee/Employee/360/{Id:guid}</x:v>
      </x:c>
      <x:c r="H9" s="28" t="str">
        <x:v>ORG; USERS; PEOPLE</x:v>
      </x:c>
      <x:c r="I9" s="28" t="str">
        <x:v>أرسل النموذج مع حذف كل حقل مطلوب على حدة. جرّب قسمًا أو مسمى غير موجود أو تابعًا لشركة أخرى. ابحث عن اسم غير موجود وتنقل بين صفحات النتائج.</x:v>
      </x:c>
      <x:c r="J9" s="28" t="str">
        <x:v>لا تُحفظ البيانات غير الصحيحة ويوضح التحقق السبب. لا تظهر سجلات قديمة عند خلو النتائج، ولا تخلط الصفحات السجلات المطابقة أو تُسقطها.</x:v>
      </x:c>
      <x:c r="K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9" s="25"/>
      <x:c r="M9" s="25"/>
      <x:c r="N9" s="25"/>
      <x:c r="O9" s="25"/>
    </x:row>
    <x:row r="10" ht="190" customHeight="1">
      <x:c r="A10" s="28" t="str">
        <x:v>HR-03-P</x:v>
      </x:c>
      <x:c r="B10" s="28" t="str">
        <x:v>HR-03</x:v>
      </x:c>
      <x:c r="C10" s="28" t="str">
        <x:v>شؤون الموظفين وإدارة بياناتهم
مدير شؤون الموظفين</x:v>
      </x:c>
      <x:c r="D10" s="28" t="n">
        <x:v>1</x:v>
      </x:c>
      <x:c r="E10" s="28" t="str">
        <x:v>P1</x:v>
      </x:c>
      <x:c r="F10" s="28" t="str">
        <x:v>إدارة جهات الاتصال والمستندات والمهارات والشهادات — السيناريو الإيجابي</x:v>
      </x:c>
      <x:c r="G10" s="28" t="str">
        <x:v>/HR/EmployeeEmergencyContacts; /HR/EmployeeDocuments; /HR/EmployeeSkills</x:v>
      </x:c>
      <x:c r="H10" s="28" t="str">
        <x:v>PEOPLE; FILES; USERS</x:v>
      </x:c>
      <x:c r="I10" s="28" t="str">
        <x:v>اختر EMP-REG وأضف جهة اتصال ورابط مستند ومهارة وشهادة ثم عدّلها. حدّث كل صفحة وافتح روابط المستند والشهادة. انتقل إلى EMP-NIGHT ثم عُد.</x:v>
      </x:c>
      <x:c r="J10" s="28" t="str">
        <x:v>تبقى البيانات محفوظة للموظف EMP-REG وتفتح الروابط للمختبِر المصرح له. لا تنتقل سجلاته إلى EMP-NIGHT.</x:v>
      </x:c>
      <x:c r="K1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0" s="25"/>
      <x:c r="M10" s="25"/>
      <x:c r="N10" s="25"/>
      <x:c r="O10" s="25"/>
    </x:row>
    <x:row r="11" ht="190" customHeight="1">
      <x:c r="A11" s="28" t="str">
        <x:v>HR-03-C</x:v>
      </x:c>
      <x:c r="B11" s="28" t="str">
        <x:v>HR-03</x:v>
      </x:c>
      <x:c r="C11" s="28" t="str">
        <x:v>شؤون الموظفين وإدارة بياناتهم
مدير شؤون الموظفين</x:v>
      </x:c>
      <x:c r="D11" s="28" t="n">
        <x:v>1</x:v>
      </x:c>
      <x:c r="E11" s="28" t="str">
        <x:v>P1</x:v>
      </x:c>
      <x:c r="F11" s="28" t="str">
        <x:v>إدارة جهات الاتصال والمستندات والمهارات والشهادات — سيناريو الضوابط</x:v>
      </x:c>
      <x:c r="G11" s="28" t="str">
        <x:v>/HR/EmployeeEmergencyContacts; /HR/EmployeeDocuments; /HR/EmployeeSkills</x:v>
      </x:c>
      <x:c r="H11" s="28" t="str">
        <x:v>PEOPLE; FILES; USERS</x:v>
      </x:c>
      <x:c r="I11" s="28" t="str">
        <x:v>حاول الكتابة بحساب القراءة فقط. غيّر معرّف الموظف أو السجل الفرعي في طلب ملتقط إلى معرّف من شركة أخرى. جرّب مرجع مستند غير صحيح.</x:v>
      </x:c>
      <x:c r="J11" s="28" t="str">
        <x:v>تُرفض التعديلات غير المصرح بها والمراجع التابعة لشركة أخرى دون تعديل أي موظف. لا تُعرض المراجع غير الصالحة كمستندات قابلة للاستخدام بنجاح.</x:v>
      </x:c>
      <x:c r="K1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1" s="25"/>
      <x:c r="M11" s="25"/>
      <x:c r="N11" s="25"/>
      <x:c r="O11" s="25"/>
    </x:row>
    <x:row r="12" ht="190" customHeight="1">
      <x:c r="A12" s="28" t="str">
        <x:v>HR-04-P</x:v>
      </x:c>
      <x:c r="B12" s="28" t="str">
        <x:v>HR-04</x:v>
      </x:c>
      <x:c r="C12" s="28" t="str">
        <x:v>شؤون الموظفين وإدارة بياناتهم
مدير شؤون الموظفين</x:v>
      </x:c>
      <x:c r="D12" s="28" t="n">
        <x:v>1</x:v>
      </x:c>
      <x:c r="E12" s="28" t="str">
        <x:v>P0</x:v>
      </x:c>
      <x:c r="F12" s="28" t="str">
        <x:v>نقل الموظف وتغيير مسماه وإدارة أحداث خدمته — السيناريو الإيجابي</x:v>
      </x:c>
      <x:c r="G12" s="28" t="str">
        <x:v>/Employee/Employee/List; /HR/EmployeeLifecycle</x:v>
      </x:c>
      <x:c r="H12" s="28" t="str">
        <x:v>PEOPLE; ORG; POLICY; USERS</x:v>
      </x:c>
      <x:c r="I12" s="28" t="str">
        <x:v>سجّل قسم EMP-MOVE وفرعه ومسماه الحالي. عالج سجلات مستقلة للنقل وتغيير المسمى. لكل نوع حدث منطبق أنشئ الحدث واعتمده وأكمله بتاريخ السريان المعتمد. حدّث الموظف وسجل الأحداث.</x:v>
      </x:c>
      <x:c r="J12" s="28" t="str">
        <x:v>تُطبق الأحداث المكتملة التغييرات المعتمدة مرة واحدة، وتحتفظ بالتاريخ والمنفّذ والتواريخ وفق POLICY. تتطابق تعيينات الموظف مع الحدث المكتمل.</x:v>
      </x:c>
      <x:c r="K1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2" s="25"/>
      <x:c r="M12" s="25"/>
      <x:c r="N12" s="25"/>
      <x:c r="O12" s="25"/>
    </x:row>
    <x:row r="13" ht="190" customHeight="1">
      <x:c r="A13" s="28" t="str">
        <x:v>HR-04-C</x:v>
      </x:c>
      <x:c r="B13" s="28" t="str">
        <x:v>HR-04</x:v>
      </x:c>
      <x:c r="C13" s="28" t="str">
        <x:v>شؤون الموظفين وإدارة بياناتهم
مدير شؤون الموظفين</x:v>
      </x:c>
      <x:c r="D13" s="28" t="n">
        <x:v>1</x:v>
      </x:c>
      <x:c r="E13" s="28" t="str">
        <x:v>P0</x:v>
      </x:c>
      <x:c r="F13" s="28" t="str">
        <x:v>نقل الموظف وتغيير مسماه وإدارة أحداث خدمته — سيناريو الضوابط</x:v>
      </x:c>
      <x:c r="G13" s="28" t="str">
        <x:v>/Employee/Employee/List; /HR/EmployeeLifecycle</x:v>
      </x:c>
      <x:c r="H13" s="28" t="str">
        <x:v>PEOPLE; ORG; POLICY; USERS</x:v>
      </x:c>
      <x:c r="I13" s="28" t="str">
        <x:v>أنشئ أحداثًا مستقلة وألغها قبل الإكمال. حاول الإكمال دون اعتماد وتكرار الإكمال والنقل إلى فرع غير مسموح.</x:v>
      </x:c>
      <x:c r="J13" s="28" t="str">
        <x:v>لا تغير الأحداث الملغاة التعيينات. تُرفض الانتقالات غير الصحيحة أو المكررة والنقل المحظور، ولا يُمنح أي فرع وصولًا غير مصرح به.</x:v>
      </x:c>
      <x:c r="K1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3" s="25"/>
      <x:c r="M13" s="25"/>
      <x:c r="N13" s="25"/>
      <x:c r="O13" s="25"/>
    </x:row>
    <x:row r="14" ht="190" customHeight="1">
      <x:c r="A14" s="28" t="str">
        <x:v>HR-05-P</x:v>
      </x:c>
      <x:c r="B14" s="28" t="str">
        <x:v>HR-05</x:v>
      </x:c>
      <x:c r="C14" s="28" t="str">
        <x:v>شؤون الموظفين وإدارة بياناتهم
مدير شؤون الموظفين</x:v>
      </x:c>
      <x:c r="D14" s="28" t="n">
        <x:v>1</x:v>
      </x:c>
      <x:c r="E14" s="28" t="str">
        <x:v>P0</x:v>
      </x:c>
      <x:c r="F14" s="28" t="str">
        <x:v>إنهاء خدمة الموظف والتحقق من أثره على العمليات المرتبطة — السيناريو الإيجابي</x:v>
      </x:c>
      <x:c r="G14" s="28" t="str">
        <x:v>/Employee/Employee/List; /HR/EmployeeLifecycle; /HR/Reports</x:v>
      </x:c>
      <x:c r="H14" s="28" t="str">
        <x:v>PEOPLE; POLICY; PAYREF; USERS</x:v>
      </x:c>
      <x:c r="I14" s="28" t="str">
        <x:v>استخدم EMP-EXIT وله سجلات سابقة وتاريخ وسبب إنهاء معتمدان. أنهِ خدمته عبر الإجراء المتاح. حدّث الملف والتقارير التاريخية. قارن أهلية الجداول والحضور والإجازات والرواتب المستقبلية مع POLICY.</x:v>
      </x:c>
      <x:c r="J14" s="28" t="str">
        <x:v>تُحفظ تفاصيل الإنهاء وتبقى السجلات التاريخية متاحة للموارد البشرية المصرح لها. تتوافق حالات الإدراج والاستبعاد اللاحقة مع مصفوفة الإنهاء المعتمدة؛ تُسجل الفروق كفجوات.</x:v>
      </x:c>
      <x:c r="K1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4" s="25"/>
      <x:c r="M14" s="25"/>
      <x:c r="N14" s="25"/>
      <x:c r="O14" s="25"/>
    </x:row>
    <x:row r="15" ht="190" customHeight="1">
      <x:c r="A15" s="28" t="str">
        <x:v>HR-05-C</x:v>
      </x:c>
      <x:c r="B15" s="28" t="str">
        <x:v>HR-05</x:v>
      </x:c>
      <x:c r="C15" s="28" t="str">
        <x:v>شؤون الموظفين وإدارة بياناتهم
مدير شؤون الموظفين</x:v>
      </x:c>
      <x:c r="D15" s="28" t="n">
        <x:v>1</x:v>
      </x:c>
      <x:c r="E15" s="28" t="str">
        <x:v>P0</x:v>
      </x:c>
      <x:c r="F15" s="28" t="str">
        <x:v>إنهاء خدمة الموظف والتحقق من أثره على العمليات المرتبطة — سيناريو الضوابط</x:v>
      </x:c>
      <x:c r="G15" s="28" t="str">
        <x:v>/Employee/Employee/List; /HR/EmployeeLifecycle; /HR/Reports</x:v>
      </x:c>
      <x:c r="H15" s="28" t="str">
        <x:v>PEOPLE; POLICY; PAYREF; USERS</x:v>
      </x:c>
      <x:c r="I15" s="28" t="str">
        <x:v>حاول الإنهاء بحساب غير مخوّل وكرر الإنهاء المكتمل. اختبر الأهلية قبل تاريخ السريان وفيه وبعده، وتحقق من وصول حساب الموظف وفق POLICY.</x:v>
      </x:c>
      <x:c r="J15" s="28" t="str">
        <x:v>لا تُفسد الإجراءات غير المصرح بها أو المكررة التاريخ. تتطابق الأهلية عند حدود التاريخ وصلاحيات الحساب مع POLICY؛ غياب ضابط مطلوب يُسجل كفشل أو فجوة.</x:v>
      </x:c>
      <x:c r="K1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5" s="25"/>
      <x:c r="M15" s="25"/>
      <x:c r="N15" s="25"/>
      <x:c r="O15" s="25"/>
    </x:row>
    <x:row r="16" ht="190" customHeight="1">
      <x:c r="A16" s="28" t="str">
        <x:v>REC-01-P</x:v>
      </x:c>
      <x:c r="B16" s="28" t="str">
        <x:v>REC-01</x:v>
      </x:c>
      <x:c r="C16" s="28" t="str">
        <x:v>الاستقطاب والتوظيف
مسؤول التوظيف</x:v>
      </x:c>
      <x:c r="D16" s="28" t="n">
        <x:v>2</x:v>
      </x:c>
      <x:c r="E16" s="28" t="str">
        <x:v>P1</x:v>
      </x:c>
      <x:c r="F16" s="28" t="str">
        <x:v>إدارة خطط القوى العاملة وطلبات التوظيف — السيناريو الإيجابي</x:v>
      </x:c>
      <x:c r="G16" s="28" t="str">
        <x:v>/HR/Recruitment</x:v>
      </x:c>
      <x:c r="H16" s="28" t="str">
        <x:v>ORG; USERS; RECRUIT</x:v>
      </x:c>
      <x:c r="I16" s="28" t="str">
        <x:v>أنشئ خطة قوى عاملة لسنة الاختبار والمسمى، وطلبات توظيف مرتبطة بالعدد المخطط. عدّل مسودة وافتحها ثم أغلقها، واستخدم طلبًا مستقلًا للإلغاء. حدّث الصفحة وطبّق المرشحات.</x:v>
      </x:c>
      <x:c r="J16" s="28" t="str">
        <x:v>تُحفظ السنة والمسمى والعدد والروابط والحالة. تظهر الطلبات المفتوحة والمغلقة والملغاة في المرشحات المطابقة.</x:v>
      </x:c>
      <x:c r="K1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6" s="25"/>
      <x:c r="M16" s="25"/>
      <x:c r="N16" s="25"/>
      <x:c r="O16" s="25"/>
    </x:row>
    <x:row r="17" ht="190" customHeight="1">
      <x:c r="A17" s="28" t="str">
        <x:v>REC-01-C</x:v>
      </x:c>
      <x:c r="B17" s="28" t="str">
        <x:v>REC-01</x:v>
      </x:c>
      <x:c r="C17" s="28" t="str">
        <x:v>الاستقطاب والتوظيف
مسؤول التوظيف</x:v>
      </x:c>
      <x:c r="D17" s="28" t="n">
        <x:v>2</x:v>
      </x:c>
      <x:c r="E17" s="28" t="str">
        <x:v>P1</x:v>
      </x:c>
      <x:c r="F17" s="28" t="str">
        <x:v>إدارة خطط القوى العاملة وطلبات التوظيف — سيناريو الضوابط</x:v>
      </x:c>
      <x:c r="G17" s="28" t="str">
        <x:v>/HR/Recruitment</x:v>
      </x:c>
      <x:c r="H17" s="28" t="str">
        <x:v>ORG; USERS; RECRUIT</x:v>
      </x:c>
      <x:c r="I17" s="28" t="str">
        <x:v>حاول انتقالات من حالات غير صحيحة وكرر الإغلاق والإلغاء. أرسل حقولًا مطلوبة ناقصة ومسمى تابعًا لشركة أخرى. كرر الاعتماد بحساب يفتقد صلاحيته.</x:v>
      </x:c>
      <x:c r="J17" s="28" t="str">
        <x:v>تُرفض المراجع والحالات غير الصحيحة والاعتمادات غير المصرح بها دون تغيير طلب التوظيف.</x:v>
      </x:c>
      <x:c r="K1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7" s="25"/>
      <x:c r="M17" s="25"/>
      <x:c r="N17" s="25"/>
      <x:c r="O17" s="25"/>
    </x:row>
    <x:row r="18" ht="190" customHeight="1">
      <x:c r="A18" s="28" t="str">
        <x:v>REC-02-P</x:v>
      </x:c>
      <x:c r="B18" s="28" t="str">
        <x:v>REC-02</x:v>
      </x:c>
      <x:c r="C18" s="28" t="str">
        <x:v>الاستقطاب والتوظيف
مسؤول التوظيف</x:v>
      </x:c>
      <x:c r="D18" s="28" t="n">
        <x:v>2</x:v>
      </x:c>
      <x:c r="E18" s="28" t="str">
        <x:v>P1</x:v>
      </x:c>
      <x:c r="F18" s="28" t="str">
        <x:v>تسجيل المتقدمين ومتابعة مراحلهم — السيناريو الإيجابي</x:v>
      </x:c>
      <x:c r="G18" s="28" t="str">
        <x:v>/HR/Recruitment</x:v>
      </x:c>
      <x:c r="H18" s="28" t="str">
        <x:v>RECRUIT; USERS</x:v>
      </x:c>
      <x:c r="I18" s="28" t="str">
        <x:v>سجّل متقدمين يمكن تمييزهما لطلبَي توظيف مختلفين. انقل أحدهما عبر المراحل المعتمدة المتاحة. حدّث الصفحة وصفِّ النتائج حسب الطلب والحالة.</x:v>
      </x:c>
      <x:c r="J18" s="28" t="str">
        <x:v>تُحفظ البيانات ويبقى كل متقدم مرتبطًا بالطلب الصحيح. تُرجع مرشحات الحالة المتقدمين المطابقين فقط.</x:v>
      </x:c>
      <x:c r="K1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8" s="25"/>
      <x:c r="M18" s="25"/>
      <x:c r="N18" s="25"/>
      <x:c r="O18" s="25"/>
    </x:row>
    <x:row r="19" ht="190" customHeight="1">
      <x:c r="A19" s="28" t="str">
        <x:v>REC-02-C</x:v>
      </x:c>
      <x:c r="B19" s="28" t="str">
        <x:v>REC-02</x:v>
      </x:c>
      <x:c r="C19" s="28" t="str">
        <x:v>الاستقطاب والتوظيف
مسؤول التوظيف</x:v>
      </x:c>
      <x:c r="D19" s="28" t="n">
        <x:v>2</x:v>
      </x:c>
      <x:c r="E19" s="28" t="str">
        <x:v>P1</x:v>
      </x:c>
      <x:c r="F19" s="28" t="str">
        <x:v>تسجيل المتقدمين ومتابعة مراحلهم — سيناريو الضوابط</x:v>
      </x:c>
      <x:c r="G19" s="28" t="str">
        <x:v>/HR/Recruitment</x:v>
      </x:c>
      <x:c r="H19" s="28" t="str">
        <x:v>RECRUIT; USERS</x:v>
      </x:c>
      <x:c r="I19" s="28" t="str">
        <x:v>حاول انتقالًا غير صحيح بين المراحل ومرجع طلب تابع لشركة أخرى. غيّر الحالة بحساب القراءة فقط، وابحث عن مرشح غير موجود.</x:v>
      </x:c>
      <x:c r="J19" s="28" t="str">
        <x:v>تُرفض التغييرات غير الصحيحة أو غير المصرح بها، وتبقى العلاقة صحيحة، ولا تُظهر المرشحات الخالية مرشحًا قديمًا.</x:v>
      </x:c>
      <x:c r="K1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19" s="25"/>
      <x:c r="M19" s="25"/>
      <x:c r="N19" s="25"/>
      <x:c r="O19" s="25"/>
    </x:row>
    <x:row r="20" ht="190" customHeight="1">
      <x:c r="A20" s="28" t="str">
        <x:v>REC-03-P</x:v>
      </x:c>
      <x:c r="B20" s="28" t="str">
        <x:v>REC-03</x:v>
      </x:c>
      <x:c r="C20" s="28" t="str">
        <x:v>الاستقطاب والتوظيف
مسؤول التوظيف</x:v>
      </x:c>
      <x:c r="D20" s="28" t="n">
        <x:v>2</x:v>
      </x:c>
      <x:c r="E20" s="28" t="str">
        <x:v>P1</x:v>
      </x:c>
      <x:c r="F20" s="28" t="str">
        <x:v>تسجيل تقييم المقابلة — السيناريو الإيجابي</x:v>
      </x:c>
      <x:c r="G20" s="28" t="str">
        <x:v>/HR/Recruitment</x:v>
      </x:c>
      <x:c r="H20" s="28" t="str">
        <x:v>RECRUIT; USERS; POLICY</x:v>
      </x:c>
      <x:c r="I20" s="28" t="str">
        <x:v>افتح المتقدم المقصود وسجّل تقييم المقابلة وفق مقياس الدرجات المعتمد مع التعليقات. عدّل التقييم وحدّث الصفحة وقارن المتقدمين.</x:v>
      </x:c>
      <x:c r="J20" s="28" t="str">
        <x:v>تُحفظ الدرجات والتعليقات للمتقدم المقصود وحده، وتتوافق مع مقياس الدرجات المعتمد.</x:v>
      </x:c>
      <x:c r="K2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0" s="25"/>
      <x:c r="M20" s="25"/>
      <x:c r="N20" s="25"/>
      <x:c r="O20" s="25"/>
    </x:row>
    <x:row r="21" ht="190" customHeight="1">
      <x:c r="A21" s="28" t="str">
        <x:v>REC-03-C</x:v>
      </x:c>
      <x:c r="B21" s="28" t="str">
        <x:v>REC-03</x:v>
      </x:c>
      <x:c r="C21" s="28" t="str">
        <x:v>الاستقطاب والتوظيف
مسؤول التوظيف</x:v>
      </x:c>
      <x:c r="D21" s="28" t="n">
        <x:v>2</x:v>
      </x:c>
      <x:c r="E21" s="28" t="str">
        <x:v>P1</x:v>
      </x:c>
      <x:c r="F21" s="28" t="str">
        <x:v>تسجيل تقييم المقابلة — سيناريو الضوابط</x:v>
      </x:c>
      <x:c r="G21" s="28" t="str">
        <x:v>/HR/Recruitment</x:v>
      </x:c>
      <x:c r="H21" s="28" t="str">
        <x:v>RECRUIT; USERS; POLICY</x:v>
      </x:c>
      <x:c r="I21" s="28" t="str">
        <x:v>أرسل درجات خارج النطاق أو تقييمًا مطلوبًا ناقصًا. حاول التعديل والحذف بحساب القراءة فقط، وغيّر معرّف المتقدم إلى شركة أخرى.</x:v>
      </x:c>
      <x:c r="J21" s="28" t="str">
        <x:v>تُرفض الدرجات غير الصحيحة والتغييرات غير المصرح بها، ولا يظهر تقييم متقدم في سجل متقدم آخر.</x:v>
      </x:c>
      <x:c r="K2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1" s="25"/>
      <x:c r="M21" s="25"/>
      <x:c r="N21" s="25"/>
      <x:c r="O21" s="25"/>
    </x:row>
    <x:row r="22" ht="190" customHeight="1">
      <x:c r="A22" s="28" t="str">
        <x:v>REC-04-P</x:v>
      </x:c>
      <x:c r="B22" s="28" t="str">
        <x:v>REC-04</x:v>
      </x:c>
      <x:c r="C22" s="28" t="str">
        <x:v>الاستقطاب والتوظيف
مسؤول التوظيف</x:v>
      </x:c>
      <x:c r="D22" s="28" t="n">
        <x:v>2</x:v>
      </x:c>
      <x:c r="E22" s="28" t="str">
        <x:v>P0</x:v>
      </x:c>
      <x:c r="F22" s="28" t="str">
        <x:v>قرار عرض العمل وتسليم بيانات التعيين — السيناريو الإيجابي</x:v>
      </x:c>
      <x:c r="G22" s="28" t="str">
        <x:v>/HR/Recruitment; /Employee/Employee/Form/{Id:guid?}</x:v>
      </x:c>
      <x:c r="H22" s="28" t="str">
        <x:v>RECRUIT; PEOPLE; USERS</x:v>
      </x:c>
      <x:c r="I22" s="28" t="str">
        <x:v>أنشئ عرضًا للمتقدم الناجح واقبله. أنشئ EMP-NEW أو حدده عبر إدارة الموظفين واربطه بالعرض المقبول. حدّث العرض والموظف. ارفض عرضًا مستقلًا.</x:v>
      </x:c>
      <x:c r="J22" s="28" t="str">
        <x:v>تكون حالات القبول والرفض صحيحة، ويرتبط التعيين بالموظف EMP-NEW تحديدًا. وثّق إن كان إنشاء الموظف يدويًا؛ قبول العرض وحده لا يثبت إنشاءه.</x:v>
      </x:c>
      <x:c r="K2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2" s="25"/>
      <x:c r="M22" s="25"/>
      <x:c r="N22" s="25"/>
      <x:c r="O22" s="25"/>
    </x:row>
    <x:row r="23" ht="190" customHeight="1">
      <x:c r="A23" s="28" t="str">
        <x:v>REC-04-C</x:v>
      </x:c>
      <x:c r="B23" s="28" t="str">
        <x:v>REC-04</x:v>
      </x:c>
      <x:c r="C23" s="28" t="str">
        <x:v>الاستقطاب والتوظيف
مسؤول التوظيف</x:v>
      </x:c>
      <x:c r="D23" s="28" t="n">
        <x:v>2</x:v>
      </x:c>
      <x:c r="E23" s="28" t="str">
        <x:v>P0</x:v>
      </x:c>
      <x:c r="F23" s="28" t="str">
        <x:v>قرار عرض العمل وتسليم بيانات التعيين — سيناريو الضوابط</x:v>
      </x:c>
      <x:c r="G23" s="28" t="str">
        <x:v>/HR/Recruitment; /Employee/Employee/Form/{Id:guid?}</x:v>
      </x:c>
      <x:c r="H23" s="28" t="str">
        <x:v>RECRUIT; PEOPLE; USERS</x:v>
      </x:c>
      <x:c r="I23" s="28" t="str">
        <x:v>كرر القبول وربط الموظف. اربط موظفًا غير موجود أو تابعًا لشركة أخرى، وحاول ربط عرض مرفوض. كرر إجراء التعيين دون صلاحية التعيين.</x:v>
      </x:c>
      <x:c r="J23" s="28" t="str">
        <x:v>تُرفض الروابط والانتقالات غير الصحيحة ولا يتكرر الموظف أو ارتباط التعيين، ولا يمكن للمستخدم غير المخوّل إكمال التعيين.</x:v>
      </x:c>
      <x:c r="K2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3" s="25"/>
      <x:c r="M23" s="25"/>
      <x:c r="N23" s="25"/>
      <x:c r="O23" s="25"/>
    </x:row>
    <x:row r="24" ht="190" customHeight="1">
      <x:c r="A24" s="28" t="str">
        <x:v>ATT-01-P</x:v>
      </x:c>
      <x:c r="B24" s="28" t="str">
        <x:v>ATT-01</x:v>
      </x:c>
      <x:c r="C24" s="28" t="str">
        <x:v>الحضور وجدولة القوى العاملة
مسؤول الحضور</x:v>
      </x:c>
      <x:c r="D24" s="28" t="n">
        <x:v>2</x:v>
      </x:c>
      <x:c r="E24" s="28" t="str">
        <x:v>P1</x:v>
      </x:c>
      <x:c r="F24" s="28" t="str">
        <x:v>تهيئة الورديات والتقويم والتكليفات — السيناريو الإيجابي</x:v>
      </x:c>
      <x:c r="G24" s="28" t="str">
        <x:v>/Attendance/Shifts; /Attendance/ShiftAssignments; /Attendance/Holidays</x:v>
      </x:c>
      <x:c r="H24" s="28" t="str">
        <x:v>CALENDAR; PEOPLE; USERS</x:v>
      </x:c>
      <x:c r="I24" s="28" t="str">
        <x:v>أنشئ وردية نهارية وأخرى ليلية. اضبط أيام العمل والعطلة عبر واجهة الإعداد المتاحة. كلّف الموظفين بالورديات مع تواريخ السريان. راجع المعاينة أو التقرير قبل بدء السريان وفيه وبعده.</x:v>
      </x:c>
      <x:c r="J24" s="28" t="str">
        <x:v>تتطابق الوردية والعطلة وتصنيف يوم العمل مع CALENDAR لكل تاريخ مختبَر، وتبقى الإعدادات محفوظة.</x:v>
      </x:c>
      <x:c r="K2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4" s="25"/>
      <x:c r="M24" s="25"/>
      <x:c r="N24" s="25"/>
      <x:c r="O24" s="25"/>
    </x:row>
    <x:row r="25" ht="190" customHeight="1">
      <x:c r="A25" s="28" t="str">
        <x:v>ATT-01-C</x:v>
      </x:c>
      <x:c r="B25" s="28" t="str">
        <x:v>ATT-01</x:v>
      </x:c>
      <x:c r="C25" s="28" t="str">
        <x:v>الحضور وجدولة القوى العاملة
مسؤول الحضور</x:v>
      </x:c>
      <x:c r="D25" s="28" t="n">
        <x:v>2</x:v>
      </x:c>
      <x:c r="E25" s="28" t="str">
        <x:v>P1</x:v>
      </x:c>
      <x:c r="F25" s="28" t="str">
        <x:v>تهيئة الورديات والتقويم والتكليفات — سيناريو الضوابط</x:v>
      </x:c>
      <x:c r="G25" s="28" t="str">
        <x:v>/Attendance/Shifts; /Attendance/ShiftAssignments; /Attendance/Holidays</x:v>
      </x:c>
      <x:c r="H25" s="28" t="str">
        <x:v>CALENDAR; PEOPLE; USERS</x:v>
      </x:c>
      <x:c r="I25" s="28" t="str">
        <x:v>جرّب أوقاتًا وتكليفات غير صحيحة ومراجع موظفين غير متاحة. عدّل الإعدادات بحساب القراءة فقط، واختبر حدود العطلة ونهاية الأسبوع.</x:v>
      </x:c>
      <x:c r="J25" s="28" t="str">
        <x:v>لا تُحفظ الإعدادات غير الصحيحة أو غير المصرح بها. تتطابق التصنيفات عند الحدود مع التقويم المعتمد؛ غياب واجهة الإعداد يُسجل كفجوة.</x:v>
      </x:c>
      <x:c r="K2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5" s="25"/>
      <x:c r="M25" s="25"/>
      <x:c r="N25" s="25"/>
      <x:c r="O25" s="25"/>
    </x:row>
    <x:row r="26" ht="190" customHeight="1">
      <x:c r="A26" s="28" t="str">
        <x:v>ATT-02-P</x:v>
      </x:c>
      <x:c r="B26" s="28" t="str">
        <x:v>ATT-02</x:v>
      </x:c>
      <x:c r="C26" s="28" t="str">
        <x:v>الحضور وجدولة القوى العاملة
مسؤول الحضور</x:v>
      </x:c>
      <x:c r="D26" s="28" t="n">
        <x:v>2</x:v>
      </x:c>
      <x:c r="E26" s="28" t="str">
        <x:v>P1</x:v>
      </x:c>
      <x:c r="F26" s="28" t="str">
        <x:v>نشر الجداول وتبديل الورديات والبدلاء — السيناريو الإيجابي</x:v>
      </x:c>
      <x:c r="G26" s="28" t="str">
        <x:v>/HR/AttendanceRoster</x:v>
      </x:c>
      <x:c r="H26" s="28" t="str">
        <x:v>CALENDAR; PEOPLE; POLICY; USERS</x:v>
      </x:c>
      <x:c r="I26" s="28" t="str">
        <x:v>أنشئ جدولًا وكلّف EMP-REG وEMP-NIGHT. انشره وتحقق من كل موظف وتاريخ. اعتمد تبديلًا وطبّق بديلًا معتمدًا. اقفل الجدول وحدّث الصفحة.</x:v>
      </x:c>
      <x:c r="J26" s="28" t="str">
        <x:v>تتطابق التكليفات المنشورة والمعدلة مع الجدول المعتمد وتظهر للموظفين الصحيحين. تبقى حالة الإقفال محفوظة.</x:v>
      </x:c>
      <x:c r="K2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6" s="25"/>
      <x:c r="M26" s="25"/>
      <x:c r="N26" s="25"/>
      <x:c r="O26" s="25"/>
    </x:row>
    <x:row r="27" ht="190" customHeight="1">
      <x:c r="A27" s="28" t="str">
        <x:v>ATT-02-C</x:v>
      </x:c>
      <x:c r="B27" s="28" t="str">
        <x:v>ATT-02</x:v>
      </x:c>
      <x:c r="C27" s="28" t="str">
        <x:v>الحضور وجدولة القوى العاملة
مسؤول الحضور</x:v>
      </x:c>
      <x:c r="D27" s="28" t="n">
        <x:v>2</x:v>
      </x:c>
      <x:c r="E27" s="28" t="str">
        <x:v>P1</x:v>
      </x:c>
      <x:c r="F27" s="28" t="str">
        <x:v>نشر الجداول وتبديل الورديات والبدلاء — سيناريو الضوابط</x:v>
      </x:c>
      <x:c r="G27" s="28" t="str">
        <x:v>/HR/AttendanceRoster</x:v>
      </x:c>
      <x:c r="H27" s="28" t="str">
        <x:v>CALENDAR; PEOPLE; POLICY; USERS</x:v>
      </x:c>
      <x:c r="I27" s="28" t="str">
        <x:v>ألغِ طلب تبديل وجدولًا مستقلين. حاول تكليفات متداخلة أو غير صحيحة وموظفًا في فرع محظور، وتعديل جدول مقفل دون صلاحية.</x:v>
      </x:c>
      <x:c r="J27" s="28" t="str">
        <x:v>لا تُطبق التبديلات الملغاة. تُرفض التكليفات غير الصحيحة والمحظورة وتعديلات الجدول المقفل غير المصرح بها دون تغيير الجدول.</x:v>
      </x:c>
      <x:c r="K2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7" s="25"/>
      <x:c r="M27" s="25"/>
      <x:c r="N27" s="25"/>
      <x:c r="O27" s="25"/>
    </x:row>
    <x:row r="28" ht="190" customHeight="1">
      <x:c r="A28" s="28" t="str">
        <x:v>ATT-03-P</x:v>
      </x:c>
      <x:c r="B28" s="28" t="str">
        <x:v>ATT-03</x:v>
      </x:c>
      <x:c r="C28" s="28" t="str">
        <x:v>الحضور وجدولة القوى العاملة
مسؤول الحضور</x:v>
      </x:c>
      <x:c r="D28" s="28" t="n">
        <x:v>2</x:v>
      </x:c>
      <x:c r="E28" s="28" t="str">
        <x:v>P0</x:v>
      </x:c>
      <x:c r="F28" s="28" t="str">
        <x:v>جلسات الحضور والاستراحات والوردية الليلية والانصراف المفقود — السيناريو الإيجابي</x:v>
      </x:c>
      <x:c r="G28" s="28" t="str">
        <x:v>/Attendance/MyAttendance; /Attendance/Sessions</x:v>
      </x:c>
      <x:c r="H28" s="28" t="str">
        <x:v>TIMELINE; PEOPLE; USERS</x:v>
      </x:c>
      <x:c r="I28" s="28" t="str">
        <x:v>بحساب EMP-REG سجّل الدخول وبدء الاستراحة وإنهاءها والانصراف بأوقات موثقة. كرر مع EMP-NIGHT عبر منتصف الليل. راجع الجلسات والتقرير، وعالج انصرافًا مفقودًا في بيانات مستقلة.</x:v>
      </x:c>
      <x:c r="J28" s="28" t="str">
        <x:v>يتطابق تاريخ الجلسة وأوقاتها ودقائق الاستراحة وصافي العمل مع TIMELINE. يتوافق إسناد تاريخ الوردية الليلية ومعالجة الانصراف المفقود مع POLICY.</x:v>
      </x:c>
      <x:c r="K2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8" s="25"/>
      <x:c r="M28" s="25"/>
      <x:c r="N28" s="25"/>
      <x:c r="O28" s="25"/>
    </x:row>
    <x:row r="29" ht="190" customHeight="1">
      <x:c r="A29" s="28" t="str">
        <x:v>ATT-03-C</x:v>
      </x:c>
      <x:c r="B29" s="28" t="str">
        <x:v>ATT-03</x:v>
      </x:c>
      <x:c r="C29" s="28" t="str">
        <x:v>الحضور وجدولة القوى العاملة
مسؤول الحضور</x:v>
      </x:c>
      <x:c r="D29" s="28" t="n">
        <x:v>2</x:v>
      </x:c>
      <x:c r="E29" s="28" t="str">
        <x:v>P0</x:v>
      </x:c>
      <x:c r="F29" s="28" t="str">
        <x:v>جلسات الحضور والاستراحات والوردية الليلية والانصراف المفقود — سيناريو الضوابط</x:v>
      </x:c>
      <x:c r="G29" s="28" t="str">
        <x:v>/Attendance/MyAttendance; /Attendance/Sessions</x:v>
      </x:c>
      <x:c r="H29" s="28" t="str">
        <x:v>TIMELINE; PEOPLE; USERS</x:v>
      </x:c>
      <x:c r="I29" s="28" t="str">
        <x:v>حاول فتح جلستين نشطتين، والإنهاء قبل البدء، وتكرار الانصراف وترتيب استراحة غير صحيح، ثم إجراءً على جلسة موظف آخر.</x:v>
      </x:c>
      <x:c r="J29" s="28" t="str">
        <x:v>تُرفض التسلسلات غير الصحيحة وإجراءات جلسات الآخرين، ولا تُنشأ جلسات مكررة أو مدد سالبة.</x:v>
      </x:c>
      <x:c r="K2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29" s="25"/>
      <x:c r="M29" s="25"/>
      <x:c r="N29" s="25"/>
      <x:c r="O29" s="25"/>
    </x:row>
    <x:row r="30" ht="190" customHeight="1">
      <x:c r="A30" s="28" t="str">
        <x:v>ATT-04-P</x:v>
      </x:c>
      <x:c r="B30" s="28" t="str">
        <x:v>ATT-04</x:v>
      </x:c>
      <x:c r="C30" s="28" t="str">
        <x:v>الحضور وجدولة القوى العاملة
مسؤول الحضور</x:v>
      </x:c>
      <x:c r="D30" s="28" t="n">
        <x:v>2</x:v>
      </x:c>
      <x:c r="E30" s="28" t="str">
        <x:v>P1</x:v>
      </x:c>
      <x:c r="F30" s="28" t="str">
        <x:v>ضوابط الموقع وطلبات التأخر والأذونات أثناء الدوام — السيناريو الإيجابي</x:v>
      </x:c>
      <x:c r="G30" s="28" t="str">
        <x:v>/Attendance/MyAttendance; /Attendance/LateRequests; /Attendance/PermissionRequests; /Attendance/ApprovePermissionRequests</x:v>
      </x:c>
      <x:c r="H30" s="28" t="str">
        <x:v>GEO; TIMELINE; USERS; POLICY</x:v>
      </x:c>
      <x:c r="I30" s="28" t="str">
        <x:v>سجّل الدخول داخل النطاق الجغرافي المعتمد بدقة مقبولة. قدّم طلب تأخر وإذن أثناء الدوام. اعتمد طلبًا من كل نوع بحساب المراجع المقصود، وارفض طلبات مستقلة. حدّث الحالة وتقرير الحضور.</x:v>
      </x:c>
      <x:c r="J30" s="28" t="str">
        <x:v>تتطابق نتيجة النطاق الجغرافي مع GEO. تُحفظ القرارات والتعليقات، وتتوافق معالجة الحضور مع POLICY للطلب المعتمد والمرفوض.</x:v>
      </x:c>
      <x:c r="K3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0" s="25"/>
      <x:c r="M30" s="25"/>
      <x:c r="N30" s="25"/>
      <x:c r="O30" s="25"/>
    </x:row>
    <x:row r="31" ht="190" customHeight="1">
      <x:c r="A31" s="28" t="str">
        <x:v>ATT-04-C</x:v>
      </x:c>
      <x:c r="B31" s="28" t="str">
        <x:v>ATT-04</x:v>
      </x:c>
      <x:c r="C31" s="28" t="str">
        <x:v>الحضور وجدولة القوى العاملة
مسؤول الحضور</x:v>
      </x:c>
      <x:c r="D31" s="28" t="n">
        <x:v>2</x:v>
      </x:c>
      <x:c r="E31" s="28" t="str">
        <x:v>P1</x:v>
      </x:c>
      <x:c r="F31" s="28" t="str">
        <x:v>ضوابط الموقع وطلبات التأخر والأذونات أثناء الدوام — سيناريو الضوابط</x:v>
      </x:c>
      <x:c r="G31" s="28" t="str">
        <x:v>/Attendance/MyAttendance; /Attendance/LateRequests; /Attendance/PermissionRequests; /Attendance/ApprovePermissionRequests</x:v>
      </x:c>
      <x:c r="H31" s="28" t="str">
        <x:v>GEO; TIMELINE; USERS; POLICY</x:v>
      </x:c>
      <x:c r="I31" s="28" t="str">
        <x:v>اختبر خارج النطاق وحدوده ورفض إذن الموقع وعدم توفره وضعف الدقة والموقع الوهمي. حاول المراجعة دون صلاحية وتكرار مراجعة طلب محسوم.</x:v>
      </x:c>
      <x:c r="J31" s="28" t="str">
        <x:v>لكل حالة موقع نتيجة صريحة معتمدة. لا تغيّر المراجعة غير المصرح بها أو المكررة الحضور ولا تعتمد الطلب ضمنيًا.</x:v>
      </x:c>
      <x:c r="K3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1" s="25"/>
      <x:c r="M31" s="25"/>
      <x:c r="N31" s="25"/>
      <x:c r="O31" s="25"/>
    </x:row>
    <x:row r="32" ht="190" customHeight="1">
      <x:c r="A32" s="28" t="str">
        <x:v>ATT-05-P</x:v>
      </x:c>
      <x:c r="B32" s="28" t="str">
        <x:v>ATT-05</x:v>
      </x:c>
      <x:c r="C32" s="28" t="str">
        <x:v>الحضور وجدولة القوى العاملة
مسؤول الحضور</x:v>
      </x:c>
      <x:c r="D32" s="28" t="n">
        <x:v>2</x:v>
      </x:c>
      <x:c r="E32" s="28" t="str">
        <x:v>P0</x:v>
      </x:c>
      <x:c r="F32" s="28" t="str">
        <x:v>تصحيح الحضور واستيراد بيانات البصمة — السيناريو الإيجابي</x:v>
      </x:c>
      <x:c r="G32" s="28" t="str">
        <x:v>/HR/AttendanceRoster; /Attendance/Sessions</x:v>
      </x:c>
      <x:c r="H32" s="28" t="str">
        <x:v>TIMELINE; BIO; USERS</x:v>
      </x:c>
      <x:c r="I32" s="28" t="str">
        <x:v>أنشئ تصحيحًا للجلسة المحددة واعتمده وطبّقه. أنشئ دفعة بصمة بصفوف صحيحة وراجعها ورحّلها. قارن الجلسات والتقرير بأوقات المصدر. حدد واجهة الإجراء أو سجّل فجوة في الواجهة.</x:v>
      </x:c>
      <x:c r="J32" s="28" t="str">
        <x:v>تُصحح الجلسة المقصودة فقط. تنتج الصفوف الصحيحة الجلسات المتوقعة، وتتطابق الأوقات مع BIO مع إمكانية تتبع المصدر.</x:v>
      </x:c>
      <x:c r="K3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2" s="25"/>
      <x:c r="M32" s="25"/>
      <x:c r="N32" s="25"/>
      <x:c r="O32" s="25"/>
    </x:row>
    <x:row r="33" ht="190" customHeight="1">
      <x:c r="A33" s="28" t="str">
        <x:v>ATT-05-C</x:v>
      </x:c>
      <x:c r="B33" s="28" t="str">
        <x:v>ATT-05</x:v>
      </x:c>
      <x:c r="C33" s="28" t="str">
        <x:v>الحضور وجدولة القوى العاملة
مسؤول الحضور</x:v>
      </x:c>
      <x:c r="D33" s="28" t="n">
        <x:v>2</x:v>
      </x:c>
      <x:c r="E33" s="28" t="str">
        <x:v>P0</x:v>
      </x:c>
      <x:c r="F33" s="28" t="str">
        <x:v>تصحيح الحضور واستيراد بيانات البصمة — سيناريو الضوابط</x:v>
      </x:c>
      <x:c r="G33" s="28" t="str">
        <x:v>/HR/AttendanceRoster; /Attendance/Sessions</x:v>
      </x:c>
      <x:c r="H33" s="28" t="str">
        <x:v>TIMELINE; BIO; USERS</x:v>
      </x:c>
      <x:c r="I33" s="28" t="str">
        <x:v>ارفض تصحيحًا مستقلًا وحاول تطبيقه. استورد صفوفًا بموظف أو وقت غير صحيح وصفوفًا مكررة، ثم أعد ترحيل الدفعة. حاول التصحيح دون صلاحية.</x:v>
      </x:c>
      <x:c r="J33" s="28" t="str">
        <x:v>لا تُطبق التصحيحات المرفوضة أو غير المصرح بها. يمكن تحديد الصفوف غير الصحيحة ولا يتكرر الحضور عند التكرار أو إعادة الترحيل. توفر الخدمة الخلفية وحده لا ينجح في اختبار القبول اليدوي.</x:v>
      </x:c>
      <x:c r="K3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3" s="25"/>
      <x:c r="M33" s="25"/>
      <x:c r="N33" s="25"/>
      <x:c r="O33" s="25"/>
    </x:row>
    <x:row r="34" ht="190" customHeight="1">
      <x:c r="A34" s="28" t="str">
        <x:v>ATT-06-P</x:v>
      </x:c>
      <x:c r="B34" s="28" t="str">
        <x:v>ATT-06</x:v>
      </x:c>
      <x:c r="C34" s="28" t="str">
        <x:v>الحضور وجدولة القوى العاملة
مسؤول الحضور</x:v>
      </x:c>
      <x:c r="D34" s="28" t="n">
        <x:v>2</x:v>
      </x:c>
      <x:c r="E34" s="28" t="str">
        <x:v>P0</x:v>
      </x:c>
      <x:c r="F34" s="28" t="str">
        <x:v>توليد مدخلات عمل الرواتب واعتمادها وإقفالها — السيناريو الإيجابي</x:v>
      </x:c>
      <x:c r="G34" s="28" t="str">
        <x:v>/HR/WorkEntries</x:v>
      </x:c>
      <x:c r="H34" s="28" t="str">
        <x:v>TIMELINE; CALENDAR; LEAVEREF; USERS</x:v>
      </x:c>
      <x:c r="I34" s="28" t="str">
        <x:v>ولّد المدخلات للموظفين والفترة المحددة. قارن العمل والاستراحات والإجازات المعتمدة بالقيم المرجعية، ثم اعتمد المدخلات واقفلها وحدّث الصفحة.</x:v>
      </x:c>
      <x:c r="J34" s="28" t="str">
        <x:v>تتطابق السجلات والكميات تمامًا مع مرجع الحضور والإجازات المعتمد، وتبقى حالتا الاعتماد والإقفال محفوظتين.</x:v>
      </x:c>
      <x:c r="K3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4" s="25"/>
      <x:c r="M34" s="25"/>
      <x:c r="N34" s="25"/>
      <x:c r="O34" s="25"/>
    </x:row>
    <x:row r="35" ht="190" customHeight="1">
      <x:c r="A35" s="28" t="str">
        <x:v>ATT-06-C</x:v>
      </x:c>
      <x:c r="B35" s="28" t="str">
        <x:v>ATT-06</x:v>
      </x:c>
      <x:c r="C35" s="28" t="str">
        <x:v>الحضور وجدولة القوى العاملة
مسؤول الحضور</x:v>
      </x:c>
      <x:c r="D35" s="28" t="n">
        <x:v>2</x:v>
      </x:c>
      <x:c r="E35" s="28" t="str">
        <x:v>P0</x:v>
      </x:c>
      <x:c r="F35" s="28" t="str">
        <x:v>توليد مدخلات عمل الرواتب واعتمادها وإقفالها — سيناريو الضوابط</x:v>
      </x:c>
      <x:c r="G35" s="28" t="str">
        <x:v>/HR/WorkEntries</x:v>
      </x:c>
      <x:c r="H35" s="28" t="str">
        <x:v>TIMELINE; CALENDAR; LEAVEREF; USERS</x:v>
      </x:c>
      <x:c r="I35" s="28" t="str">
        <x:v>أعد التوليد للفترة نفسها وحاول تعديل المدخلات المقفلة. حاول الاعتماد دون صلاحية وأدرج موظفًا من شركة أخرى.</x:v>
      </x:c>
      <x:c r="J35" s="28" t="str">
        <x:v>لا تتكرر السجلات أو الكميات، وتُمنع التغييرات المقفلة وغير المصرح بها ومدخلات الشركة الأخرى.</x:v>
      </x:c>
      <x:c r="K3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5" s="25"/>
      <x:c r="M35" s="25"/>
      <x:c r="N35" s="25"/>
      <x:c r="O35" s="25"/>
    </x:row>
    <x:row r="36" ht="190" customHeight="1">
      <x:c r="A36" s="28" t="str">
        <x:v>LEV-01-P</x:v>
      </x:c>
      <x:c r="B36" s="28" t="str">
        <x:v>LEV-01</x:v>
      </x:c>
      <x:c r="C36" s="28" t="str">
        <x:v>إدارة الإجازات
مسؤول الإجازات</x:v>
      </x:c>
      <x:c r="D36" s="28" t="n">
        <x:v>2</x:v>
      </x:c>
      <x:c r="E36" s="28" t="str">
        <x:v>P0</x:v>
      </x:c>
      <x:c r="F36" s="28" t="str">
        <x:v>السياسات والفترات وتخصيص أرصدة الإجازات — السيناريو الإيجابي</x:v>
      </x:c>
      <x:c r="G36" s="28" t="str">
        <x:v>/HR/LeavePolicies; /LeavesManagement/Balances</x:v>
      </x:c>
      <x:c r="H36" s="28" t="str">
        <x:v>LEAVEREF; PEOPLE; USERS; POLICY</x:v>
      </x:c>
      <x:c r="I36" s="28" t="str">
        <x:v>أنشئ أنواع الإجازات والفترة والسياسة وتعييناتها للموظفين. ولّد الأرصدة للفئة المحددة، وقارن الرصيد والسجل مع LEAVEREF ثم حدّث الصفحة.</x:v>
      </x:c>
      <x:c r="J36" s="28" t="str">
        <x:v>يحصل الموظفون المؤهلون والمعينون فقط على الاستحقاق المتوقع للفترة ونوع الإجازة الصحيحين.</x:v>
      </x:c>
      <x:c r="K3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6" s="25"/>
      <x:c r="M36" s="25"/>
      <x:c r="N36" s="25"/>
      <x:c r="O36" s="25"/>
    </x:row>
    <x:row r="37" ht="190" customHeight="1">
      <x:c r="A37" s="28" t="str">
        <x:v>LEV-01-C</x:v>
      </x:c>
      <x:c r="B37" s="28" t="str">
        <x:v>LEV-01</x:v>
      </x:c>
      <x:c r="C37" s="28" t="str">
        <x:v>إدارة الإجازات
مسؤول الإجازات</x:v>
      </x:c>
      <x:c r="D37" s="28" t="n">
        <x:v>2</x:v>
      </x:c>
      <x:c r="E37" s="28" t="str">
        <x:v>P0</x:v>
      </x:c>
      <x:c r="F37" s="28" t="str">
        <x:v>السياسات والفترات وتخصيص أرصدة الإجازات — سيناريو الضوابط</x:v>
      </x:c>
      <x:c r="G37" s="28" t="str">
        <x:v>/HR/LeavePolicies; /LeavesManagement/Balances</x:v>
      </x:c>
      <x:c r="H37" s="28" t="str">
        <x:v>LEAVEREF; PEOPLE; USERS; POLICY</x:v>
      </x:c>
      <x:c r="I37" s="28" t="str">
        <x:v>كرر توليد التخصيص نفسه. جرّب فترات غير صحيحة وتعيينات لشركة أخرى وتخصيصًا دون صلاحية. راجع السجل والأرصدة.</x:v>
      </x:c>
      <x:c r="J37" s="28" t="str">
        <x:v>لا يتكرر الاستحقاق، وتُرفض التخصيصات غير الصحيحة أو غير المصرح بها دون تغيير الأرصدة.</x:v>
      </x:c>
      <x:c r="K3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7" s="25"/>
      <x:c r="M37" s="25"/>
      <x:c r="N37" s="25"/>
      <x:c r="O37" s="25"/>
    </x:row>
    <x:row r="38" ht="190" customHeight="1">
      <x:c r="A38" s="28" t="str">
        <x:v>LEV-02-P</x:v>
      </x:c>
      <x:c r="B38" s="28" t="str">
        <x:v>LEV-02</x:v>
      </x:c>
      <x:c r="C38" s="28" t="str">
        <x:v>إدارة الإجازات
مسؤول الإجازات</x:v>
      </x:c>
      <x:c r="D38" s="28" t="n">
        <x:v>2</x:v>
      </x:c>
      <x:c r="E38" s="28" t="str">
        <x:v>P0</x:v>
      </x:c>
      <x:c r="F38" s="28" t="str">
        <x:v>طلب الإجازة عبر الخدمة الذاتية — السيناريو الإيجابي</x:v>
      </x:c>
      <x:c r="G38" s="28" t="str">
        <x:v>/LeavesManagement/MyLeaveApplications</x:v>
      </x:c>
      <x:c r="H38" s="28" t="str">
        <x:v>LEAVEREF; CALENDAR; FILES; USERS</x:v>
      </x:c>
      <x:c r="I38" s="28" t="str">
        <x:v>بحساب EMP-REG أنشئ مسودة إجازة تشمل أيام العمل والعطلة المحددة. أرفق المستند التجريبي وأرسل الطلب وحدّث الصفحة. قارن الأيام المحتسبة مع LEAVEREF وافتح المرفق.</x:v>
      </x:c>
      <x:c r="J38" s="28" t="str">
        <x:v>تُحفظ التواريخ والنوع والمرفق، وتتطابق الأيام المحتسبة مع التقويم المعتمد. يخص الطلب الموظف المسجل دخوله ويصل إلى حالة الإرسال المقصودة.</x:v>
      </x:c>
      <x:c r="K3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8" s="25"/>
      <x:c r="M38" s="25"/>
      <x:c r="N38" s="25"/>
      <x:c r="O38" s="25"/>
    </x:row>
    <x:row r="39" ht="190" customHeight="1">
      <x:c r="A39" s="28" t="str">
        <x:v>LEV-02-C</x:v>
      </x:c>
      <x:c r="B39" s="28" t="str">
        <x:v>LEV-02</x:v>
      </x:c>
      <x:c r="C39" s="28" t="str">
        <x:v>إدارة الإجازات
مسؤول الإجازات</x:v>
      </x:c>
      <x:c r="D39" s="28" t="n">
        <x:v>2</x:v>
      </x:c>
      <x:c r="E39" s="28" t="str">
        <x:v>P0</x:v>
      </x:c>
      <x:c r="F39" s="28" t="str">
        <x:v>طلب الإجازة عبر الخدمة الذاتية — سيناريو الضوابط</x:v>
      </x:c>
      <x:c r="G39" s="28" t="str">
        <x:v>/LeavesManagement/MyLeaveApplications</x:v>
      </x:c>
      <x:c r="H39" s="28" t="str">
        <x:v>LEAVEREF; CALENDAR; FILES; USERS</x:v>
      </x:c>
      <x:c r="I39" s="28" t="str">
        <x:v>اختبر تواريخ معكوسة وطلبات متداخلة ورصيدًا غير كافٍ ومرفقًا مطلوبًا مفقودًا ومعرّف موظف مزورًا. راجع الطلبات والرصيد بعد ذلك.</x:v>
      </x:c>
      <x:c r="J39" s="28" t="str">
        <x:v>تتبع كل حالة POLICY مع تحقق واضح. لا يُنشأ طلب أو حركة رصيد غير مقصودة، ولا يمكن انتحال موظف آخر.</x:v>
      </x:c>
      <x:c r="K3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39" s="25"/>
      <x:c r="M39" s="25"/>
      <x:c r="N39" s="25"/>
      <x:c r="O39" s="25"/>
    </x:row>
    <x:row r="40" ht="190" customHeight="1">
      <x:c r="A40" s="28" t="str">
        <x:v>LEV-03-P</x:v>
      </x:c>
      <x:c r="B40" s="28" t="str">
        <x:v>LEV-03</x:v>
      </x:c>
      <x:c r="C40" s="28" t="str">
        <x:v>إدارة الإجازات
مسؤول الإجازات</x:v>
      </x:c>
      <x:c r="D40" s="28" t="n">
        <x:v>2</x:v>
      </x:c>
      <x:c r="E40" s="28" t="str">
        <x:v>P0</x:v>
      </x:c>
      <x:c r="F40" s="28" t="str">
        <x:v>اعتماد الإجازة ورفضها وإلغاؤها — السيناريو الإيجابي</x:v>
      </x:c>
      <x:c r="G40" s="28" t="str">
        <x:v>/HR/LeaveApplications; /HR/LeaveLedger; /LeavesManagement/Reports</x:v>
      </x:c>
      <x:c r="H40" s="28" t="str">
        <x:v>LEAVEREF; USERS; POLICY</x:v>
      </x:c>
      <x:c r="I40" s="28" t="str">
        <x:v>سجّل الرصيد الابتدائي. اعتمد طلبًا مرسلًا وارفض طلبًا مستقلًا ثم ألغِ الطلب المعتمد عبر الإجراء المسموح. راجع السجل والتقارير بعد كل إجراء.</x:v>
      </x:c>
      <x:c r="J40" s="28" t="str">
        <x:v>يخصم الاعتماد الأيام المتوقعة مرة واحدة، ولا يخصم الرفض شيئًا، ويعيد الإلغاء المبلغ الصحيح من الرصيد. تظهر القرارات والتعليقات والطلبات النهائية في التقارير.</x:v>
      </x:c>
      <x:c r="K4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0" s="25"/>
      <x:c r="M40" s="25"/>
      <x:c r="N40" s="25"/>
      <x:c r="O40" s="25"/>
    </x:row>
    <x:row r="41" ht="190" customHeight="1">
      <x:c r="A41" s="28" t="str">
        <x:v>LEV-03-C</x:v>
      </x:c>
      <x:c r="B41" s="28" t="str">
        <x:v>LEV-03</x:v>
      </x:c>
      <x:c r="C41" s="28" t="str">
        <x:v>إدارة الإجازات
مسؤول الإجازات</x:v>
      </x:c>
      <x:c r="D41" s="28" t="n">
        <x:v>2</x:v>
      </x:c>
      <x:c r="E41" s="28" t="str">
        <x:v>P0</x:v>
      </x:c>
      <x:c r="F41" s="28" t="str">
        <x:v>اعتماد الإجازة ورفضها وإلغاؤها — سيناريو الضوابط</x:v>
      </x:c>
      <x:c r="G41" s="28" t="str">
        <x:v>/HR/LeaveApplications; /HR/LeaveLedger; /LeavesManagement/Reports</x:v>
      </x:c>
      <x:c r="H41" s="28" t="str">
        <x:v>LEAVEREF; USERS; POLICY</x:v>
      </x:c>
      <x:c r="I41" s="28" t="str">
        <x:v>كرر الاعتماد والإلغاء. حاول المراجعة دون صلاحية والإلغاء من حالة غير مسموحة. قارن الرصيد والسجل قبل الإجراء وبعده.</x:v>
      </x:c>
      <x:c r="J41" s="28" t="str">
        <x:v>لا تنشئ الإجراءات المكررة أو غير المصرح بها خصومات أو إضافات زائدة. تُرفض الانتقالات غير الصحيحة ويبقى السجل متصالحًا مع الرصيد.</x:v>
      </x:c>
      <x:c r="K4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1" s="25"/>
      <x:c r="M41" s="25"/>
      <x:c r="N41" s="25"/>
      <x:c r="O41" s="25"/>
    </x:row>
    <x:row r="42" ht="190" customHeight="1">
      <x:c r="A42" s="28" t="str">
        <x:v>LEV-04-P</x:v>
      </x:c>
      <x:c r="B42" s="28" t="str">
        <x:v>LEV-04</x:v>
      </x:c>
      <x:c r="C42" s="28" t="str">
        <x:v>إدارة الإجازات
مسؤول الإجازات</x:v>
      </x:c>
      <x:c r="D42" s="28" t="n">
        <x:v>2</x:v>
      </x:c>
      <x:c r="E42" s="28" t="str">
        <x:v>P1</x:v>
      </x:c>
      <x:c r="F42" s="28" t="str">
        <x:v>الإجازة الطارئة — السيناريو الإيجابي</x:v>
      </x:c>
      <x:c r="G42" s="28" t="str">
        <x:v>/LeavesManagement/EmergencyLeaves; /LeavesManagement/ApproveEmergencyLeaves</x:v>
      </x:c>
      <x:c r="H42" s="28" t="str">
        <x:v>LEAVEREF; FILES; USERS; POLICY</x:v>
      </x:c>
      <x:c r="I42" s="28" t="str">
        <x:v>قدّم طلبًا طارئًا بالسبب والمرفق المطلوبين. اعتمده بحساب المراجع المحدد وارفض طلبًا مستقلًا. حدّث الصفحة وقارن أثر الحضور والرصيد.</x:v>
      </x:c>
      <x:c r="J42" s="28" t="str">
        <x:v>تُحفظ الطلبات والملفات والتعليقات والقرارات، وتتطابق معالجة المعتمد والمرفوض مع POLICY وLEAVEREF.</x:v>
      </x:c>
      <x:c r="K4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2" s="25"/>
      <x:c r="M42" s="25"/>
      <x:c r="N42" s="25"/>
      <x:c r="O42" s="25"/>
    </x:row>
    <x:row r="43" ht="190" customHeight="1">
      <x:c r="A43" s="28" t="str">
        <x:v>LEV-04-C</x:v>
      </x:c>
      <x:c r="B43" s="28" t="str">
        <x:v>LEV-04</x:v>
      </x:c>
      <x:c r="C43" s="28" t="str">
        <x:v>إدارة الإجازات
مسؤول الإجازات</x:v>
      </x:c>
      <x:c r="D43" s="28" t="n">
        <x:v>2</x:v>
      </x:c>
      <x:c r="E43" s="28" t="str">
        <x:v>P1</x:v>
      </x:c>
      <x:c r="F43" s="28" t="str">
        <x:v>الإجازة الطارئة — سيناريو الضوابط</x:v>
      </x:c>
      <x:c r="G43" s="28" t="str">
        <x:v>/LeavesManagement/EmergencyLeaves; /LeavesManagement/ApproveEmergencyLeaves</x:v>
      </x:c>
      <x:c r="H43" s="28" t="str">
        <x:v>LEAVEREF; FILES; USERS; POLICY</x:v>
      </x:c>
      <x:c r="I43" s="28" t="str">
        <x:v>اختبر نقص المعلومات والتداخل وتكرار المراجعة والمراجعة دون صلاحية. حاول تقديم طلب لموظف أو شركة أخرى بتعديل الطلب.</x:v>
      </x:c>
      <x:c r="J43" s="28" t="str">
        <x:v>تُطبق قواعد التحقق والوصول، ولا تستهلك الطلبات المرفوضة أو المكررة الرصيد أو تغيّر الحضور ضمنيًا.</x:v>
      </x:c>
      <x:c r="K4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3" s="25"/>
      <x:c r="M43" s="25"/>
      <x:c r="N43" s="25"/>
      <x:c r="O43" s="25"/>
    </x:row>
    <x:row r="44" ht="190" customHeight="1">
      <x:c r="A44" s="28" t="str">
        <x:v>LEV-05-P</x:v>
      </x:c>
      <x:c r="B44" s="28" t="str">
        <x:v>LEV-05</x:v>
      </x:c>
      <x:c r="C44" s="28" t="str">
        <x:v>إدارة الإجازات
مسؤول الإجازات</x:v>
      </x:c>
      <x:c r="D44" s="28" t="n">
        <x:v>2</x:v>
      </x:c>
      <x:c r="E44" s="28" t="str">
        <x:v>P0</x:v>
      </x:c>
      <x:c r="F44" s="28" t="str">
        <x:v>تسويات سجل الإجازات وصرف مقابل الرصيد — السيناريو الإيجابي</x:v>
      </x:c>
      <x:c r="G44" s="28" t="str">
        <x:v>/HR/LeaveLedger</x:v>
      </x:c>
      <x:c r="H44" s="28" t="str">
        <x:v>LEAVEREF; PAYREF; USERS; POLICY</x:v>
      </x:c>
      <x:c r="I44" s="28" t="str">
        <x:v>سجّل الرصيد الافتتاحي. نفّذ إضافة أو خصمًا مخوّلًا مع السبب، ثم اصرف مقابل الأيام المعتمدة. قارن السجل وأي انتقال مطلوب إلى الرواتب مع LEAVEREF وPAYREF.</x:v>
      </x:c>
      <x:c r="J44" s="28" t="str">
        <x:v>الرصيد الافتتاحي زائد الإضافات ناقص الخصومات يساوي الختامي. تتطابق أيام الصرف ومبلغه مع المراجع المعتمدة، وتبقى الحركات قابلة للتتبع.</x:v>
      </x:c>
      <x:c r="K4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4" s="25"/>
      <x:c r="M44" s="25"/>
      <x:c r="N44" s="25"/>
      <x:c r="O44" s="25"/>
    </x:row>
    <x:row r="45" ht="190" customHeight="1">
      <x:c r="A45" s="28" t="str">
        <x:v>LEV-05-C</x:v>
      </x:c>
      <x:c r="B45" s="28" t="str">
        <x:v>LEV-05</x:v>
      </x:c>
      <x:c r="C45" s="28" t="str">
        <x:v>إدارة الإجازات
مسؤول الإجازات</x:v>
      </x:c>
      <x:c r="D45" s="28" t="n">
        <x:v>2</x:v>
      </x:c>
      <x:c r="E45" s="28" t="str">
        <x:v>P0</x:v>
      </x:c>
      <x:c r="F45" s="28" t="str">
        <x:v>تسويات سجل الإجازات وصرف مقابل الرصيد — سيناريو الضوابط</x:v>
      </x:c>
      <x:c r="G45" s="28" t="str">
        <x:v>/HR/LeaveLedger</x:v>
      </x:c>
      <x:c r="H45" s="28" t="str">
        <x:v>LEAVEREF; PAYREF; USERS; POLICY</x:v>
      </x:c>
      <x:c r="I45" s="28" t="str">
        <x:v>كرر الإرسال نفسه واطلب صرف أيام زائدة. استخدم مراجع موظف أو نوع إجازة غير صحيحة وحاول التسوية دون صلاحية.</x:v>
      </x:c>
      <x:c r="J45" s="28" t="str">
        <x:v>لا تنشأ حركات سجل أو رواتب مكررة أو غير مصرح بها. تتبع الطلبات الزائدة وغير الصحيحة POLICY؛ غياب الانتقال المطلوب إلى الرواتب يُسجل كفجوة.</x:v>
      </x:c>
      <x:c r="K4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5" s="25"/>
      <x:c r="M45" s="25"/>
      <x:c r="N45" s="25"/>
      <x:c r="O45" s="25"/>
    </x:row>
    <x:row r="46" ht="190" customHeight="1">
      <x:c r="A46" s="28" t="str">
        <x:v>PAY-01-P</x:v>
      </x:c>
      <x:c r="B46" s="28" t="str">
        <x:v>PAY-01</x:v>
      </x:c>
      <x:c r="C46" s="28" t="str">
        <x:v>الرواتب والتعويضات
مدير الرواتب / الإدارة المالية</x:v>
      </x:c>
      <x:c r="D46" s="28" t="n">
        <x:v>3</x:v>
      </x:c>
      <x:c r="E46" s="28" t="str">
        <x:v>P0</x:v>
      </x:c>
      <x:c r="F46" s="28" t="str">
        <x:v>مكونات الراتب والعقود والهياكل والتعيينات — السيناريو الإيجابي</x:v>
      </x:c>
      <x:c r="G46" s="28" t="str">
        <x:v>/Payroll/Components; /Payroll/Contracts; /Payroll/AssignContract; /HR/PayrollStructures</x:v>
      </x:c>
      <x:c r="H46" s="28" t="str">
        <x:v>PAYREF; PEOPLE; USERS; POLICY</x:v>
      </x:c>
      <x:c r="I46" s="28" t="str">
        <x:v>أنشئ مكونات استحقاق وخصم وعقدًا وهيكل راتب. عيّن بيانات الموظفين المناسبة مع تواريخ السريان، وأعد فتحها وراجعها قبل كل حد سريان وفيه وبعده.</x:v>
      </x:c>
      <x:c r="J46" s="28" t="str">
        <x:v>تُحفظ المبالغ والمعادلات والتواريخ. يكون أساس الراتب المطبق واضحًا ومتطابقًا مع PAYREF عند كل حد زمني.</x:v>
      </x:c>
      <x:c r="K4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6" s="25"/>
      <x:c r="M46" s="25"/>
      <x:c r="N46" s="25"/>
      <x:c r="O46" s="25"/>
    </x:row>
    <x:row r="47" ht="190" customHeight="1">
      <x:c r="A47" s="28" t="str">
        <x:v>PAY-01-C</x:v>
      </x:c>
      <x:c r="B47" s="28" t="str">
        <x:v>PAY-01</x:v>
      </x:c>
      <x:c r="C47" s="28" t="str">
        <x:v>الرواتب والتعويضات
مدير الرواتب / الإدارة المالية</x:v>
      </x:c>
      <x:c r="D47" s="28" t="n">
        <x:v>3</x:v>
      </x:c>
      <x:c r="E47" s="28" t="str">
        <x:v>P0</x:v>
      </x:c>
      <x:c r="F47" s="28" t="str">
        <x:v>مكونات الراتب والعقود والهياكل والتعيينات — سيناريو الضوابط</x:v>
      </x:c>
      <x:c r="G47" s="28" t="str">
        <x:v>/Payroll/Components; /Payroll/Contracts; /Payroll/AssignContract; /HR/PayrollStructures</x:v>
      </x:c>
      <x:c r="H47" s="28" t="str">
        <x:v>PAYREF; PEOPLE; USERS; POLICY</x:v>
      </x:c>
      <x:c r="I47" s="28" t="str">
        <x:v>حاول مبالغ أو معادلات غير صحيحة وتعيينات سريان متعارضة ومراجع موظفين لشركة أخرى وتعديلات دون صلاحية.</x:v>
      </x:c>
      <x:c r="J47" s="28" t="str">
        <x:v>لا تؤدي التعيينات غير الصحيحة أو غير المصرح بها إلى أساس راتب غامض أو غير مقصود، وتحدد الأخطاء البيانات المرفوضة.</x:v>
      </x:c>
      <x:c r="K4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7" s="25"/>
      <x:c r="M47" s="25"/>
      <x:c r="N47" s="25"/>
      <x:c r="O47" s="25"/>
    </x:row>
    <x:row r="48" ht="190" customHeight="1">
      <x:c r="A48" s="28" t="str">
        <x:v>PAY-02-P</x:v>
      </x:c>
      <x:c r="B48" s="28" t="str">
        <x:v>PAY-02</x:v>
      </x:c>
      <x:c r="C48" s="28" t="str">
        <x:v>الرواتب والتعويضات
مدير الرواتب / الإدارة المالية</x:v>
      </x:c>
      <x:c r="D48" s="28" t="n">
        <x:v>3</x:v>
      </x:c>
      <x:c r="E48" s="28" t="str">
        <x:v>P0</x:v>
      </x:c>
      <x:c r="F48" s="28" t="str">
        <x:v>قروض الموظفين واستقطاع الأقساط — السيناريو الإيجابي</x:v>
      </x:c>
      <x:c r="G48" s="28" t="str">
        <x:v>/Payroll/Loans; /HR/Payslips; /Payroll/SalaryRuns</x:v>
      </x:c>
      <x:c r="H48" s="28" t="str">
        <x:v>PAYREF; PEOPLE; USERS; POLICY</x:v>
      </x:c>
      <x:c r="I48" s="28" t="str">
        <x:v>أنشئ قرض EMP-LOAN واعتمده بجدول الأقساط المرجعي. عالج قسطًا مؤهلًا في الرواتب وراجع الخصم والمتبقي. ألغِ قرضًا مستقلًا غير مستخدم.</x:v>
      </x:c>
      <x:c r="J48" s="28" t="str">
        <x:v>يُستقطع القرض المعتمد والمؤهل فقط، ويتساوى القسط والمتبقي مع PAYREF، وتُستبعد القروض الملغاة وغير المعتمدة.</x:v>
      </x:c>
      <x:c r="K4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8" s="25"/>
      <x:c r="M48" s="25"/>
      <x:c r="N48" s="25"/>
      <x:c r="O48" s="25"/>
    </x:row>
    <x:row r="49" ht="190" customHeight="1">
      <x:c r="A49" s="28" t="str">
        <x:v>PAY-02-C</x:v>
      </x:c>
      <x:c r="B49" s="28" t="str">
        <x:v>PAY-02</x:v>
      </x:c>
      <x:c r="C49" s="28" t="str">
        <x:v>الرواتب والتعويضات
مدير الرواتب / الإدارة المالية</x:v>
      </x:c>
      <x:c r="D49" s="28" t="n">
        <x:v>3</x:v>
      </x:c>
      <x:c r="E49" s="28" t="str">
        <x:v>P0</x:v>
      </x:c>
      <x:c r="F49" s="28" t="str">
        <x:v>قروض الموظفين واستقطاع الأقساط — سيناريو الضوابط</x:v>
      </x:c>
      <x:c r="G49" s="28" t="str">
        <x:v>/Payroll/Loans; /HR/Payslips; /Payroll/SalaryRuns</x:v>
      </x:c>
      <x:c r="H49" s="28" t="str">
        <x:v>PAYREF; PEOPLE; USERS; POLICY</x:v>
      </x:c>
      <x:c r="I49" s="28" t="str">
        <x:v>أعد الحساب أو تشغيل الرواتب، واعكس القسط عبر الإجراء المسموح ثم أعد المعالجة. جرّب اعتمادًا غير مخوّل وإلغاءً بعد الاستقطاع.</x:v>
      </x:c>
      <x:c r="J49" s="28" t="str">
        <x:v>يحدث الاستقطاع مرة واحدة ويعيد العكس الرصيد الصحيح مرة واحدة. يتبع الإلغاء اللاحق POLICY دون فقد تاريخ الاستقطاع.</x:v>
      </x:c>
      <x:c r="K4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49" s="25"/>
      <x:c r="M49" s="25"/>
      <x:c r="N49" s="25"/>
      <x:c r="O49" s="25"/>
    </x:row>
    <x:row r="50" ht="190" customHeight="1">
      <x:c r="A50" s="28" t="str">
        <x:v>PAY-03-P</x:v>
      </x:c>
      <x:c r="B50" s="28" t="str">
        <x:v>PAY-03</x:v>
      </x:c>
      <x:c r="C50" s="28" t="str">
        <x:v>الرواتب والتعويضات
مدير الرواتب / الإدارة المالية</x:v>
      </x:c>
      <x:c r="D50" s="28" t="n">
        <x:v>3</x:v>
      </x:c>
      <x:c r="E50" s="28" t="str">
        <x:v>P0</x:v>
      </x:c>
      <x:c r="F50" s="28" t="str">
        <x:v>مسار تشغيل الرواتب — السيناريو الإيجابي</x:v>
      </x:c>
      <x:c r="G50" s="28" t="str">
        <x:v>/Payroll/SalaryRuns</x:v>
      </x:c>
      <x:c r="H50" s="28" t="str">
        <x:v>PAYREF; PEOPLE; USERS; POLICY</x:v>
      </x:c>
      <x:c r="I50" s="28" t="str">
        <x:v>أنشئ واحسب تشغيل الرواتب لبيانات المسار القديم المخصصة. قارن الإجمالي والخصومات والصافي بشكل مستقل. اعتمد الفترة وثبّتها. تراجع عن تشغيل أو فترة مستقلة قابلة للاستغناء عبر الضوابط المسموحة.</x:v>
      </x:c>
      <x:c r="J50" s="28" t="str">
        <x:v>تتطابق المبالغ مع PAYREF ضمن سماحية التقريب المعتمدة. تتصالح حالات الاعتماد والتثبيت والتراجع وآثارها المالية مع المرجع.</x:v>
      </x:c>
      <x:c r="K5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0" s="25"/>
      <x:c r="M50" s="25"/>
      <x:c r="N50" s="25"/>
      <x:c r="O50" s="25"/>
    </x:row>
    <x:row r="51" ht="190" customHeight="1">
      <x:c r="A51" s="28" t="str">
        <x:v>PAY-03-C</x:v>
      </x:c>
      <x:c r="B51" s="28" t="str">
        <x:v>PAY-03</x:v>
      </x:c>
      <x:c r="C51" s="28" t="str">
        <x:v>الرواتب والتعويضات
مدير الرواتب / الإدارة المالية</x:v>
      </x:c>
      <x:c r="D51" s="28" t="n">
        <x:v>3</x:v>
      </x:c>
      <x:c r="E51" s="28" t="str">
        <x:v>P0</x:v>
      </x:c>
      <x:c r="F51" s="28" t="str">
        <x:v>مسار تشغيل الرواتب — سيناريو الضوابط</x:v>
      </x:c>
      <x:c r="G51" s="28" t="str">
        <x:v>/Payroll/SalaryRuns</x:v>
      </x:c>
      <x:c r="H51" s="28" t="str">
        <x:v>PAYREF; PEOPLE; USERS; POLICY</x:v>
      </x:c>
      <x:c r="I51" s="28" t="str">
        <x:v>أنشئ الموظف والفترة نفسيهما مرتين، وكرر الاعتماد والتثبيت والتراجع. حاول التراجع دون صلاحية التجاوز، واستخدم موظفًا وفترة سبق معالجتهما عبر قيود الرواتب.</x:v>
      </x:c>
      <x:c r="J51" s="28" t="str">
        <x:v>لا يتكرر الصرف أو القيد المحاسبي أو استقطاع القرض عبر أي من المسارين. تُرفض الإجراءات غير الصحيحة وغير المخولة؛ غياب منع التكرار بين المسارين فجوة حرجة.</x:v>
      </x:c>
      <x:c r="K5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1" s="25"/>
      <x:c r="M51" s="25"/>
      <x:c r="N51" s="25"/>
      <x:c r="O51" s="25"/>
    </x:row>
    <x:row r="52" ht="190" customHeight="1">
      <x:c r="A52" s="28" t="str">
        <x:v>PAY-04-P</x:v>
      </x:c>
      <x:c r="B52" s="28" t="str">
        <x:v>PAY-04</x:v>
      </x:c>
      <x:c r="C52" s="28" t="str">
        <x:v>الرواتب والتعويضات
مدير الرواتب / الإدارة المالية</x:v>
      </x:c>
      <x:c r="D52" s="28" t="n">
        <x:v>3</x:v>
      </x:c>
      <x:c r="E52" s="28" t="str">
        <x:v>P0</x:v>
      </x:c>
      <x:c r="F52" s="28" t="str">
        <x:v>فترات وقيود ومدخلات الرواتب وكشوفها — السيناريو الإيجابي</x:v>
      </x:c>
      <x:c r="G52" s="28" t="str">
        <x:v>/HR/Payslips; /HR/WorkEntries; /HR/SaudiPayroll</x:v>
      </x:c>
      <x:c r="H52" s="28" t="str">
        <x:v>PAYREF; TIMELINE; LEAVEREF; USERS; POLICY</x:v>
      </x:c>
      <x:c r="I52" s="28" t="str">
        <x:v>افتح الفترة المرجعية وأنشئ مدخلات الموظفين واستورد مدخلات الحضور المعتمدة. أنشئ القيد وولّده وراجع الكشوف وأعد حسابها ثم اعتمدها وسجّل الدفع وأغلق. استخدم بيانات مستقلة لإعادة الفتح والإلغاء.</x:v>
      </x:c>
      <x:c r="J52" s="28" t="str">
        <x:v>تتطابق فئة الموظفين والإجمالي والخصومات والصافي وأرصدة القروض مع PAYREF. يُحتسب الحضور مرة واحدة وتُحفظ كل انتقالات وحالات الفترة والقيد والكشف المسموحة.</x:v>
      </x:c>
      <x:c r="K5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2" s="25"/>
      <x:c r="M52" s="25"/>
      <x:c r="N52" s="25"/>
      <x:c r="O52" s="25"/>
    </x:row>
    <x:row r="53" ht="190" customHeight="1">
      <x:c r="A53" s="28" t="str">
        <x:v>PAY-04-C</x:v>
      </x:c>
      <x:c r="B53" s="28" t="str">
        <x:v>PAY-04</x:v>
      </x:c>
      <x:c r="C53" s="28" t="str">
        <x:v>الرواتب والتعويضات
مدير الرواتب / الإدارة المالية</x:v>
      </x:c>
      <x:c r="D53" s="28" t="n">
        <x:v>3</x:v>
      </x:c>
      <x:c r="E53" s="28" t="str">
        <x:v>P0</x:v>
      </x:c>
      <x:c r="F53" s="28" t="str">
        <x:v>فترات وقيود ومدخلات الرواتب وكشوفها — سيناريو الضوابط</x:v>
      </x:c>
      <x:c r="G53" s="28" t="str">
        <x:v>/HR/Payslips; /HR/WorkEntries; /HR/SaudiPayroll</x:v>
      </x:c>
      <x:c r="H53" s="28" t="str">
        <x:v>PAYREF; TIMELINE; LEAVEREF; USERS; POLICY</x:v>
      </x:c>
      <x:c r="I53" s="28" t="str">
        <x:v>كرر التوليد واستيراد مدخلات العمل وتسجيل الدفع. حاول التعديل في فترة مغلقة والاعتماد دون صلاحية وتشغيل راتب موظف غير مؤهل. قارن الإجماليات قبل الإجراء وبعده.</x:v>
      </x:c>
      <x:c r="J53" s="28" t="str">
        <x:v>لا تتكرر الكشوف أو المدخلات أو الخصومات. تُمنع الحالات المغلقة وغير الصحيحة والإجراءات غير المخولة، وتتطابق الأهلية مع POLICY.</x:v>
      </x:c>
      <x:c r="K5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3" s="25"/>
      <x:c r="M53" s="25"/>
      <x:c r="N53" s="25"/>
      <x:c r="O53" s="25"/>
    </x:row>
    <x:row r="54" ht="190" customHeight="1">
      <x:c r="A54" s="28" t="str">
        <x:v>PAY-05-P</x:v>
      </x:c>
      <x:c r="B54" s="28" t="str">
        <x:v>PAY-05</x:v>
      </x:c>
      <x:c r="C54" s="28" t="str">
        <x:v>الرواتب والتعويضات
مدير الرواتب / الإدارة المالية</x:v>
      </x:c>
      <x:c r="D54" s="28" t="n">
        <x:v>3</x:v>
      </x:c>
      <x:c r="E54" s="28" t="str">
        <x:v>P0</x:v>
      </x:c>
      <x:c r="F54" s="28" t="str">
        <x:v>ترحيل الرواتب إلى المحاسبة — السيناريو الإيجابي</x:v>
      </x:c>
      <x:c r="G54" s="28" t="str">
        <x:v>/HR/Payslips</x:v>
      </x:c>
      <x:c r="H54" s="28" t="str">
        <x:v>PAYREF; ACCOUNTING; USERS</x:v>
      </x:c>
      <x:c r="I54" s="28" t="str">
        <x:v>رحّل قيد الرواتب الاختباري المعتمد. راجع القيود المحاسبية الناتجة بصلاحيات الإدارة المالية. قارن الشركة والفرع والحسابات والمدين والدائن والإجماليات مع ACCOUNTING.</x:v>
      </x:c>
      <x:c r="J54" s="28" t="str">
        <x:v>يتساوى المدين والدائن، وتتطابق القيود مع مرجع الرواتب والشركة والفرع المقصودين، وتبقى روابط الترحيل قابلة للتتبع.</x:v>
      </x:c>
      <x:c r="K5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4" s="25"/>
      <x:c r="M54" s="25"/>
      <x:c r="N54" s="25"/>
      <x:c r="O54" s="25"/>
    </x:row>
    <x:row r="55" ht="190" customHeight="1">
      <x:c r="A55" s="28" t="str">
        <x:v>PAY-05-C</x:v>
      </x:c>
      <x:c r="B55" s="28" t="str">
        <x:v>PAY-05</x:v>
      </x:c>
      <x:c r="C55" s="28" t="str">
        <x:v>الرواتب والتعويضات
مدير الرواتب / الإدارة المالية</x:v>
      </x:c>
      <x:c r="D55" s="28" t="n">
        <x:v>3</x:v>
      </x:c>
      <x:c r="E55" s="28" t="str">
        <x:v>P0</x:v>
      </x:c>
      <x:c r="F55" s="28" t="str">
        <x:v>ترحيل الرواتب إلى المحاسبة — سيناريو الضوابط</x:v>
      </x:c>
      <x:c r="G55" s="28" t="str">
        <x:v>/HR/Payslips</x:v>
      </x:c>
      <x:c r="H55" s="28" t="str">
        <x:v>PAYREF; ACCOUNTING; USERS</x:v>
      </x:c>
      <x:c r="I55" s="28" t="str">
        <x:v>كرر الترحيل. في بيانات مستقلة استخدم إعدادًا محاسبيًا ناقصًا عمدًا، وافحص حالة الفشل ثم صحح الإعداد وأعد المحاولة. حاول الترحيل دون صلاحية.</x:v>
      </x:c>
      <x:c r="J55" s="28" t="str">
        <x:v>لا يكرر الترحيل القيود. لا يترك الفشل ترحيلًا جزئيًا أو مزدوجًا، وتنجح المحاولة بعد التصحيح مرة واحدة، ويُرفض الترحيل غير المخوّل.</x:v>
      </x:c>
      <x:c r="K5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5" s="25"/>
      <x:c r="M55" s="25"/>
      <x:c r="N55" s="25"/>
      <x:c r="O55" s="25"/>
    </x:row>
    <x:row r="56" ht="190" customHeight="1">
      <x:c r="A56" s="28" t="str">
        <x:v>PAY-06-P</x:v>
      </x:c>
      <x:c r="B56" s="28" t="str">
        <x:v>PAY-06</x:v>
      </x:c>
      <x:c r="C56" s="28" t="str">
        <x:v>الرواتب والتعويضات
مدير الرواتب / الإدارة المالية</x:v>
      </x:c>
      <x:c r="D56" s="28" t="n">
        <x:v>3</x:v>
      </x:c>
      <x:c r="E56" s="28" t="str">
        <x:v>P0</x:v>
      </x:c>
      <x:c r="F56" s="28" t="str">
        <x:v>الرواتب السعودية وحماية الأجور ومخصصات نهاية الخدمة — السيناريو الإيجابي</x:v>
      </x:c>
      <x:c r="G56" s="28" t="str">
        <x:v>/HR/SaudiPayroll</x:v>
      </x:c>
      <x:c r="H56" s="28" t="str">
        <x:v>PAYREF; WPS; EOS; USERS; POLICY</x:v>
      </x:c>
      <x:c r="I56" s="28" t="str">
        <x:v>أدخل بيانات الموظف والنسب المعتمدة. ولّد دفعة حماية أجور من الكشوف المعتمدة المؤهلة، واحصل على الملف الفعلي وتحقق من بنيته وموظفيه وإجمالياته مقابل WPS. أنشئ لقطة مخصص نهاية الخدمة بتاريخ المرجع وقارنها مع EOS.</x:v>
      </x:c>
      <x:c r="J56" s="28" t="str">
        <x:v>تتطابق المدخلات والحسابات ومحتوى حماية الأجور وإجماليات المخصص مع المراجع المعتمدة المستقلة. نجاح التصدير يتطلب ملفًا فعليًا صالحًا ومتحققًا منه، وليس حالة فقط.</x:v>
      </x:c>
      <x:c r="K5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6" s="25"/>
      <x:c r="M56" s="25"/>
      <x:c r="N56" s="25"/>
      <x:c r="O56" s="25"/>
    </x:row>
    <x:row r="57" ht="190" customHeight="1">
      <x:c r="A57" s="28" t="str">
        <x:v>PAY-06-C</x:v>
      </x:c>
      <x:c r="B57" s="28" t="str">
        <x:v>PAY-06</x:v>
      </x:c>
      <x:c r="C57" s="28" t="str">
        <x:v>الرواتب والتعويضات
مدير الرواتب / الإدارة المالية</x:v>
      </x:c>
      <x:c r="D57" s="28" t="n">
        <x:v>3</x:v>
      </x:c>
      <x:c r="E57" s="28" t="str">
        <x:v>P0</x:v>
      </x:c>
      <x:c r="F57" s="28" t="str">
        <x:v>الرواتب السعودية وحماية الأجور ومخصصات نهاية الخدمة — سيناريو الضوابط</x:v>
      </x:c>
      <x:c r="G57" s="28" t="str">
        <x:v>/HR/SaudiPayroll</x:v>
      </x:c>
      <x:c r="H57" s="28" t="str">
        <x:v>PAYREF; WPS; EOS; USERS; POLICY</x:v>
      </x:c>
      <x:c r="I57" s="28" t="str">
        <x:v>استخدم بيانات بنكية ناقصة أو غير صحيحة وموظفين مستبعدين وطلبات دفعة مكررة. حاول تعديل دفعة مُصدّرة وإنشاء لقطة دون صلاحية، ثم قارن المخرجات مجددًا.</x:v>
      </x:c>
      <x:c r="J57" s="28" t="str">
        <x:v>تظهر سجلات حماية الأجور غير الصحيحة ولا تُعد مخرجات ناجحة. لا تتكرر دفعات الدفع ولا يحدث تغيير غير مخوّل. إذا كان التصدير يغير الحالة فقط، فسجّل فجوة تصدير مانعة للقبول.</x:v>
      </x:c>
      <x:c r="K5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7" s="25"/>
      <x:c r="M57" s="25"/>
      <x:c r="N57" s="25"/>
      <x:c r="O57" s="25"/>
    </x:row>
    <x:row r="58" ht="190" customHeight="1">
      <x:c r="A58" s="28" t="str">
        <x:v>PER-01-P</x:v>
      </x:c>
      <x:c r="B58" s="28" t="str">
        <x:v>PER-01</x:v>
      </x:c>
      <x:c r="C58" s="28" t="str">
        <x:v>إدارة الأداء
مدير إدارة الأداء</x:v>
      </x:c>
      <x:c r="D58" s="28" t="n">
        <x:v>4</x:v>
      </x:c>
      <x:c r="E58" s="28" t="str">
        <x:v>P1</x:v>
      </x:c>
      <x:c r="F58" s="28" t="str">
        <x:v>دورات التقييم والأهداف والكفاءات — السيناريو الإيجابي</x:v>
      </x:c>
      <x:c r="G58" s="28" t="str">
        <x:v>/HR/Performance</x:v>
      </x:c>
      <x:c r="H58" s="28" t="str">
        <x:v>PERF; PEOPLE; USERS</x:v>
      </x:c>
      <x:c r="I58" s="28" t="str">
        <x:v>أنشئ دورة تقييم وتعريفات أهداف وكفاءات. عيّن أهداف الموظفين بأوزان المرجع، وابدأ الدورة وحدّث الصفحة وراجع العلاقات.</x:v>
      </x:c>
      <x:c r="J58" s="28" t="str">
        <x:v>تُحفظ التعريفات والتواريخ والأوزان والعلاقات للدورة والموظفين الصحيحين، وتعكس الإجراءات المتاحة حالة الدورة.</x:v>
      </x:c>
      <x:c r="K5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8" s="25"/>
      <x:c r="M58" s="25"/>
      <x:c r="N58" s="25"/>
      <x:c r="O58" s="25"/>
    </x:row>
    <x:row r="59" ht="190" customHeight="1">
      <x:c r="A59" s="28" t="str">
        <x:v>PER-01-C</x:v>
      </x:c>
      <x:c r="B59" s="28" t="str">
        <x:v>PER-01</x:v>
      </x:c>
      <x:c r="C59" s="28" t="str">
        <x:v>إدارة الأداء
مدير إدارة الأداء</x:v>
      </x:c>
      <x:c r="D59" s="28" t="n">
        <x:v>4</x:v>
      </x:c>
      <x:c r="E59" s="28" t="str">
        <x:v>P1</x:v>
      </x:c>
      <x:c r="F59" s="28" t="str">
        <x:v>دورات التقييم والأهداف والكفاءات — سيناريو الضوابط</x:v>
      </x:c>
      <x:c r="G59" s="28" t="str">
        <x:v>/HR/Performance</x:v>
      </x:c>
      <x:c r="H59" s="28" t="str">
        <x:v>PERF; PEOPLE; USERS</x:v>
      </x:c>
      <x:c r="I59" s="28" t="str">
        <x:v>جرّب تواريخ أو أوزان غير صحيحة وموظفين لشركة أخرى وإجراءات خارج الدورة النشطة وتهيئة دون صلاحية.</x:v>
      </x:c>
      <x:c r="J59" s="28" t="str">
        <x:v>تُرفض التهيئة والإجراءات غير الصحيحة أو غير المخولة دون إفساد الدورة أو أهداف الموظفين.</x:v>
      </x:c>
      <x:c r="K5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59" s="25"/>
      <x:c r="M59" s="25"/>
      <x:c r="N59" s="25"/>
      <x:c r="O59" s="25"/>
    </x:row>
    <x:row r="60" ht="190" customHeight="1">
      <x:c r="A60" s="28" t="str">
        <x:v>PER-02-P</x:v>
      </x:c>
      <x:c r="B60" s="28" t="str">
        <x:v>PER-02</x:v>
      </x:c>
      <x:c r="C60" s="28" t="str">
        <x:v>إدارة الأداء
مدير إدارة الأداء</x:v>
      </x:c>
      <x:c r="D60" s="28" t="n">
        <x:v>4</x:v>
      </x:c>
      <x:c r="E60" s="28" t="str">
        <x:v>P1</x:v>
      </x:c>
      <x:c r="F60" s="28" t="str">
        <x:v>الدرجات والإنجاز وحساب التقييم — السيناريو الإيجابي</x:v>
      </x:c>
      <x:c r="G60" s="28" t="str">
        <x:v>/HR/Performance</x:v>
      </x:c>
      <x:c r="H60" s="28" t="str">
        <x:v>PERF; USERS</x:v>
      </x:c>
      <x:c r="I60" s="28" t="str">
        <x:v>أدخل نسب الإنجاز ودرجات الكفاءات المرجعية. أنشئ التقييم أو أعد حسابه، وقارن المكونات والأوزان والإجمالي والتقدير مع حساب PERF المستقل.</x:v>
      </x:c>
      <x:c r="J60" s="28" t="str">
        <x:v>تتطابق مكونات الدرجة والتقدير النهائي مع المرجع والتقريب المعتمدين. تعيد إعادة الحساب النتيجة نفسها للمدخلات غير المتغيرة.</x:v>
      </x:c>
      <x:c r="K6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0" s="25"/>
      <x:c r="M60" s="25"/>
      <x:c r="N60" s="25"/>
      <x:c r="O60" s="25"/>
    </x:row>
    <x:row r="61" ht="190" customHeight="1">
      <x:c r="A61" s="28" t="str">
        <x:v>PER-02-C</x:v>
      </x:c>
      <x:c r="B61" s="28" t="str">
        <x:v>PER-02</x:v>
      </x:c>
      <x:c r="C61" s="28" t="str">
        <x:v>إدارة الأداء
مدير إدارة الأداء</x:v>
      </x:c>
      <x:c r="D61" s="28" t="n">
        <x:v>4</x:v>
      </x:c>
      <x:c r="E61" s="28" t="str">
        <x:v>P1</x:v>
      </x:c>
      <x:c r="F61" s="28" t="str">
        <x:v>الدرجات والإنجاز وحساب التقييم — سيناريو الضوابط</x:v>
      </x:c>
      <x:c r="G61" s="28" t="str">
        <x:v>/HR/Performance</x:v>
      </x:c>
      <x:c r="H61" s="28" t="str">
        <x:v>PERF; USERS</x:v>
      </x:c>
      <x:c r="I61" s="28" t="str">
        <x:v>أرسل درجات خارج النطاق ودرجات مطلوبة ناقصة وأوزانًا غير صحيحة. غيّر درجة صحيحة وأعد الحساب، ثم استعد قيمتها وأعد الحساب مجددًا.</x:v>
      </x:c>
      <x:c r="J61" s="28" t="str">
        <x:v>تُرفض المدخلات غير الصحيحة أو تمنع النتيجة النهائية بوضوح. تغيّر التعديلات الصحيحة النتيجة كما هو متوقع، وتعيد الاستعادة الإجمالي المرجعي.</x:v>
      </x:c>
      <x:c r="K6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1" s="25"/>
      <x:c r="M61" s="25"/>
      <x:c r="N61" s="25"/>
      <x:c r="O61" s="25"/>
    </x:row>
    <x:row r="62" ht="190" customHeight="1">
      <x:c r="A62" s="28" t="str">
        <x:v>PER-03-P</x:v>
      </x:c>
      <x:c r="B62" s="28" t="str">
        <x:v>PER-03</x:v>
      </x:c>
      <x:c r="C62" s="28" t="str">
        <x:v>إدارة الأداء
مدير إدارة الأداء</x:v>
      </x:c>
      <x:c r="D62" s="28" t="n">
        <x:v>4</x:v>
      </x:c>
      <x:c r="E62" s="28" t="str">
        <x:v>P1</x:v>
      </x:c>
      <x:c r="F62" s="28" t="str">
        <x:v>إرسال التقييم ومراجعته واعتماده — السيناريو الإيجابي</x:v>
      </x:c>
      <x:c r="G62" s="28" t="str">
        <x:v>/HR/Performance</x:v>
      </x:c>
      <x:c r="H62" s="28" t="str">
        <x:v>PERF; USERS; POLICY</x:v>
      </x:c>
      <x:c r="I62" s="28" t="str">
        <x:v>أرسل ملاحظات الموظف وسجّل مراجعة المدير واعتمد التقييم وأغلق الدورة. استخدم تقييمًا مستقلًا للإلغاء. حدّث التقييم والسجل.</x:v>
      </x:c>
      <x:c r="J62" s="28" t="str">
        <x:v>تُحفظ ملاحظات الموظف والمدير والقرارات والنتائج النهائية بالترتيب الصحيح، وتبقى السجلات الملغاة متميزة عن المعتمدة.</x:v>
      </x:c>
      <x:c r="K6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2" s="25"/>
      <x:c r="M62" s="25"/>
      <x:c r="N62" s="25"/>
      <x:c r="O62" s="25"/>
    </x:row>
    <x:row r="63" ht="190" customHeight="1">
      <x:c r="A63" s="28" t="str">
        <x:v>PER-03-C</x:v>
      </x:c>
      <x:c r="B63" s="28" t="str">
        <x:v>PER-03</x:v>
      </x:c>
      <x:c r="C63" s="28" t="str">
        <x:v>إدارة الأداء
مدير إدارة الأداء</x:v>
      </x:c>
      <x:c r="D63" s="28" t="n">
        <x:v>4</x:v>
      </x:c>
      <x:c r="E63" s="28" t="str">
        <x:v>P1</x:v>
      </x:c>
      <x:c r="F63" s="28" t="str">
        <x:v>إرسال التقييم ومراجعته واعتماده — سيناريو الضوابط</x:v>
      </x:c>
      <x:c r="G63" s="28" t="str">
        <x:v>/HR/Performance</x:v>
      </x:c>
      <x:c r="H63" s="28" t="str">
        <x:v>PERF; USERS; POLICY</x:v>
      </x:c>
      <x:c r="I63" s="28" t="str">
        <x:v>حاول الاعتماد قبل المراجعة واعتماد الموظف لنفسه ووصولًا غير مخوّل إلى موظف آخر وتعديلًا بعد الإنهاء، وكرر الاعتماد النهائي.</x:v>
      </x:c>
      <x:c r="J63" s="28" t="str">
        <x:v>تمنع قيود الدور والحالة الإنهاء غير المصرح به أو المكرر والتغييرات الصامتة في النتائج النهائية.</x:v>
      </x:c>
      <x:c r="K6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3" s="25"/>
      <x:c r="M63" s="25"/>
      <x:c r="N63" s="25"/>
      <x:c r="O63" s="25"/>
    </x:row>
    <x:row r="64" ht="190" customHeight="1">
      <x:c r="A64" s="28" t="str">
        <x:v>TRN-01-P</x:v>
      </x:c>
      <x:c r="B64" s="28" t="str">
        <x:v>TRN-01</x:v>
      </x:c>
      <x:c r="C64" s="28" t="str">
        <x:v>التدريب والتطوير
منسق التدريب</x:v>
      </x:c>
      <x:c r="D64" s="28" t="n">
        <x:v>4</x:v>
      </x:c>
      <x:c r="E64" s="28" t="str">
        <x:v>P1</x:v>
      </x:c>
      <x:c r="F64" s="28" t="str">
        <x:v>برامج التدريب وفعالياته — السيناريو الإيجابي</x:v>
      </x:c>
      <x:c r="G64" s="28" t="str">
        <x:v>/HR/Training</x:v>
      </x:c>
      <x:c r="H64" s="28" t="str">
        <x:v>TRAIN; USERS</x:v>
      </x:c>
      <x:c r="I64" s="28" t="str">
        <x:v>أنشئ برنامجًا وفعالية مؤرخة. عدّل المسودة وافتح الفعالية وابدأها وأكملها. أنشئ فعالية مستقلة وألغها. حدّث الصفحة وصفِّ حسب البرنامج والحالة.</x:v>
      </x:c>
      <x:c r="J64" s="28" t="str">
        <x:v>تُحفظ بيانات البرنامج والفعالية وحالاتهما، وتعيد المرشحات الفعاليات الصحيحة، وتتبع الانتقالات التسلسل المعتمد.</x:v>
      </x:c>
      <x:c r="K6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4" s="25"/>
      <x:c r="M64" s="25"/>
      <x:c r="N64" s="25"/>
      <x:c r="O64" s="25"/>
    </x:row>
    <x:row r="65" ht="190" customHeight="1">
      <x:c r="A65" s="28" t="str">
        <x:v>TRN-01-C</x:v>
      </x:c>
      <x:c r="B65" s="28" t="str">
        <x:v>TRN-01</x:v>
      </x:c>
      <x:c r="C65" s="28" t="str">
        <x:v>التدريب والتطوير
منسق التدريب</x:v>
      </x:c>
      <x:c r="D65" s="28" t="n">
        <x:v>4</x:v>
      </x:c>
      <x:c r="E65" s="28" t="str">
        <x:v>P1</x:v>
      </x:c>
      <x:c r="F65" s="28" t="str">
        <x:v>برامج التدريب وفعالياته — سيناريو الضوابط</x:v>
      </x:c>
      <x:c r="G65" s="28" t="str">
        <x:v>/HR/Training</x:v>
      </x:c>
      <x:c r="H65" s="28" t="str">
        <x:v>TRAIN; USERS</x:v>
      </x:c>
      <x:c r="I65" s="28" t="str">
        <x:v>جرّب تواريخ معكوسة وانتقالات بترتيب غير صحيح وتعديل فعالية مكتملة دون صلاحية، والإنشاء والإلغاء بحساب القراءة فقط.</x:v>
      </x:c>
      <x:c r="J65" s="28" t="str">
        <x:v>تُرفض الإجراءات غير الصحيحة وغير المخولة دون تغيير بيانات الفعالية المكتملة.</x:v>
      </x:c>
      <x:c r="K6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5" s="25"/>
      <x:c r="M65" s="25"/>
      <x:c r="N65" s="25"/>
      <x:c r="O65" s="25"/>
    </x:row>
    <x:row r="66" ht="190" customHeight="1">
      <x:c r="A66" s="28" t="str">
        <x:v>TRN-02-P</x:v>
      </x:c>
      <x:c r="B66" s="28" t="str">
        <x:v>TRN-02</x:v>
      </x:c>
      <x:c r="C66" s="28" t="str">
        <x:v>التدريب والتطوير
منسق التدريب</x:v>
      </x:c>
      <x:c r="D66" s="28" t="n">
        <x:v>4</x:v>
      </x:c>
      <x:c r="E66" s="28" t="str">
        <x:v>P1</x:v>
      </x:c>
      <x:c r="F66" s="28" t="str">
        <x:v>تسجيل المشاركين والحضور والنتائج — السيناريو الإيجابي</x:v>
      </x:c>
      <x:c r="G66" s="28" t="str">
        <x:v>/HR/Training</x:v>
      </x:c>
      <x:c r="H66" s="28" t="str">
        <x:v>TRAIN; PEOPLE; USERS</x:v>
      </x:c>
      <x:c r="I66" s="28" t="str">
        <x:v>سجّل EMP-REG وEMP-NIGHT في الفعالية. سجّل الأول حاضرًا والثاني غائبًا مع نتيجتين مختلفتين. حدّث الصفحة وقارن قوائم المشاركين.</x:v>
      </x:c>
      <x:c r="J66" s="28" t="str">
        <x:v>يُسجل الموظفان الصحيحان مرة واحدة، ويبقى الحضور والنتائج مرتبطين بالمشارك والفعالية المقصودين.</x:v>
      </x:c>
      <x:c r="K6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6" s="25"/>
      <x:c r="M66" s="25"/>
      <x:c r="N66" s="25"/>
      <x:c r="O66" s="25"/>
    </x:row>
    <x:row r="67" ht="190" customHeight="1">
      <x:c r="A67" s="28" t="str">
        <x:v>TRN-02-C</x:v>
      </x:c>
      <x:c r="B67" s="28" t="str">
        <x:v>TRN-02</x:v>
      </x:c>
      <x:c r="C67" s="28" t="str">
        <x:v>التدريب والتطوير
منسق التدريب</x:v>
      </x:c>
      <x:c r="D67" s="28" t="n">
        <x:v>4</x:v>
      </x:c>
      <x:c r="E67" s="28" t="str">
        <x:v>P1</x:v>
      </x:c>
      <x:c r="F67" s="28" t="str">
        <x:v>تسجيل المشاركين والحضور والنتائج — سيناريو الضوابط</x:v>
      </x:c>
      <x:c r="G67" s="28" t="str">
        <x:v>/HR/Training</x:v>
      </x:c>
      <x:c r="H67" s="28" t="str">
        <x:v>TRAIN; PEOPLE; USERS</x:v>
      </x:c>
      <x:c r="I67" s="28" t="str">
        <x:v>سجّل الموظف نفسه مرتين، وأرسل موظفًا لشركة أخرى ونتيجة غير صحيحة. سجّل حضورًا أو نتائج دون صلاحية.</x:v>
      </x:c>
      <x:c r="J67" s="28" t="str">
        <x:v>تُرفض التسجيلات المكررة وغير الصحيحة والكتابة غير المخولة، ولا تنتقل نتيجة إلى مشارك آخر.</x:v>
      </x:c>
      <x:c r="K6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7" s="25"/>
      <x:c r="M67" s="25"/>
      <x:c r="N67" s="25"/>
      <x:c r="O67" s="25"/>
    </x:row>
    <x:row r="68" ht="190" customHeight="1">
      <x:c r="A68" s="28" t="str">
        <x:v>TRN-03-P</x:v>
      </x:c>
      <x:c r="B68" s="28" t="str">
        <x:v>TRN-03</x:v>
      </x:c>
      <x:c r="C68" s="28" t="str">
        <x:v>التدريب والتطوير
منسق التدريب</x:v>
      </x:c>
      <x:c r="D68" s="28" t="n">
        <x:v>4</x:v>
      </x:c>
      <x:c r="E68" s="28" t="str">
        <x:v>P1</x:v>
      </x:c>
      <x:c r="F68" s="28" t="str">
        <x:v>الشهادات وسجل تدريب الموظف — السيناريو الإيجابي</x:v>
      </x:c>
      <x:c r="G68" s="28" t="str">
        <x:v>/HR/Training; /HR/EmployeeSkills; /HR/Reports</x:v>
      </x:c>
      <x:c r="H68" s="28" t="str">
        <x:v>TRAIN; FILES; PEOPLE; POLICY; USERS</x:v>
      </x:c>
      <x:c r="I68" s="28" t="str">
        <x:v>اربط الشهادة التجريبية بالمشارك الذي أكمل التدريب. افتحها وراجع سجل الفعالية وتدريب الموظف. قارن المزامنة المطلوبة لشهادات الموظف مع POLICY.</x:v>
      </x:c>
      <x:c r="J68" s="28" t="str">
        <x:v>تفتح الشهادة للمستخدم المصرح له وتخص المشارك الصحيح. يتطابق السجل مع الفعاليات المكتملة. تُثبت المزامنة المطلوبة أو تُسجل كفجوة.</x:v>
      </x:c>
      <x:c r="K6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8" s="25"/>
      <x:c r="M68" s="25"/>
      <x:c r="N68" s="25"/>
      <x:c r="O68" s="25"/>
    </x:row>
    <x:row r="69" ht="190" customHeight="1">
      <x:c r="A69" s="28" t="str">
        <x:v>TRN-03-C</x:v>
      </x:c>
      <x:c r="B69" s="28" t="str">
        <x:v>TRN-03</x:v>
      </x:c>
      <x:c r="C69" s="28" t="str">
        <x:v>التدريب والتطوير
منسق التدريب</x:v>
      </x:c>
      <x:c r="D69" s="28" t="n">
        <x:v>4</x:v>
      </x:c>
      <x:c r="E69" s="28" t="str">
        <x:v>P1</x:v>
      </x:c>
      <x:c r="F69" s="28" t="str">
        <x:v>الشهادات وسجل تدريب الموظف — سيناريو الضوابط</x:v>
      </x:c>
      <x:c r="G69" s="28" t="str">
        <x:v>/HR/Training; /HR/EmployeeSkills; /HR/Reports</x:v>
      </x:c>
      <x:c r="H69" s="28" t="str">
        <x:v>TRAIN; FILES; PEOPLE; POLICY; USERS</x:v>
      </x:c>
      <x:c r="I69" s="28" t="str">
        <x:v>جرّب رابط شهادة غير صحيح ومعرّف مشارك أو شركة أخرى ووصولًا غير مخوّل. راجع سجل مشارك غائب أو ملغى.</x:v>
      </x:c>
      <x:c r="J69" s="28" t="str">
        <x:v>تُرفض الروابط والوصول والربط غير المصرح بها. لا يُظهر السجل إكمالًا أو شهادة غير حقيقية للمشاركين الغائبين أو الملغاة مشاركتهم.</x:v>
      </x:c>
      <x:c r="K6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69" s="25"/>
      <x:c r="M69" s="25"/>
      <x:c r="N69" s="25"/>
      <x:c r="O69" s="25"/>
    </x:row>
    <x:row r="70" ht="190" customHeight="1">
      <x:c r="A70" s="28" t="str">
        <x:v>CTL-01-P</x:v>
      </x:c>
      <x:c r="B70" s="28" t="str">
        <x:v>CTL-01</x:v>
      </x:c>
      <x:c r="C70" s="28" t="str">
        <x:v>التقارير والضوابط المشتركة
مدير الموارد البشرية / مسؤول النظام</x:v>
      </x:c>
      <x:c r="D70" s="28" t="n">
        <x:v>1</x:v>
      </x:c>
      <x:c r="E70" s="28" t="str">
        <x:v>P1</x:v>
      </x:c>
      <x:c r="F70" s="28" t="str">
        <x:v>لوحات المعلومات والتقارير والتصدير — السيناريو الإيجابي</x:v>
      </x:c>
      <x:c r="G70" s="28" t="str">
        <x:v>/Employee/Dashboard; /HR/Reports; /Attendance/Reports; /LeavesManagement/Reports</x:v>
      </x:c>
      <x:c r="H70" s="28" t="str">
        <x:v>REPORTREF; USERS</x:v>
      </x:c>
      <x:c r="I70" s="28" t="str">
        <x:v>لكل مجال موارد بشرية سجّل المرشحات وشغّل التقرير أو اللوحة المطابقة. قارن المعرّفات والأعداد والإجماليات المالية والزمنية مع REPORTREF. صدّر عند توفر الإجراء وقارن محتوى الملف.</x:v>
      </x:c>
      <x:c r="J70" s="28" t="str">
        <x:v>تتطابق السجلات والإجماليات المعروضة والمصدرة مع المرجع والمرشحات نفسيهما. يُسجل التقرير أو التصدير المطلوب غير المتاح كفجوة.</x:v>
      </x:c>
      <x:c r="K7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0" s="25"/>
      <x:c r="M70" s="25"/>
      <x:c r="N70" s="25"/>
      <x:c r="O70" s="25"/>
    </x:row>
    <x:row r="71" ht="190" customHeight="1">
      <x:c r="A71" s="28" t="str">
        <x:v>CTL-01-C</x:v>
      </x:c>
      <x:c r="B71" s="28" t="str">
        <x:v>CTL-01</x:v>
      </x:c>
      <x:c r="C71" s="28" t="str">
        <x:v>التقارير والضوابط المشتركة
مدير الموارد البشرية / مسؤول النظام</x:v>
      </x:c>
      <x:c r="D71" s="28" t="n">
        <x:v>1</x:v>
      </x:c>
      <x:c r="E71" s="28" t="str">
        <x:v>P1</x:v>
      </x:c>
      <x:c r="F71" s="28" t="str">
        <x:v>لوحات المعلومات والتقارير والتصدير — سيناريو الضوابط</x:v>
      </x:c>
      <x:c r="G71" s="28" t="str">
        <x:v>/Employee/Dashboard; /HR/Reports; /Attendance/Reports; /LeavesManagement/Reports</x:v>
      </x:c>
      <x:c r="H71" s="28" t="str">
        <x:v>REPORTREF; USERS</x:v>
      </x:c>
      <x:c r="I71" s="28" t="str">
        <x:v>اختبر مرشحات بلا نتائج وحدود التواريخ وتغييرات الفرع والتنقل بين الصفحات. صدّر بعد تغيير المرشحات، وافحص السجلات القديمة أو الخارجة عن النطاق.</x:v>
      </x:c>
      <x:c r="J71" s="28" t="str">
        <x:v>لا تعرض النتائج الخالية إجماليات قديمة. تحترم بيانات الحدود والصفحات والتصدير المرشحات ونطاق الوصول.</x:v>
      </x:c>
      <x:c r="K7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1" s="25"/>
      <x:c r="M71" s="25"/>
      <x:c r="N71" s="25"/>
      <x:c r="O71" s="25"/>
    </x:row>
    <x:row r="72" ht="190" customHeight="1">
      <x:c r="A72" s="28" t="str">
        <x:v>CTL-02-P</x:v>
      </x:c>
      <x:c r="B72" s="28" t="str">
        <x:v>CTL-02</x:v>
      </x:c>
      <x:c r="C72" s="28" t="str">
        <x:v>التقارير والضوابط المشتركة
مدير الموارد البشرية / مسؤول النظام</x:v>
      </x:c>
      <x:c r="D72" s="28" t="n">
        <x:v>1</x:v>
      </x:c>
      <x:c r="E72" s="28" t="str">
        <x:v>P0</x:v>
      </x:c>
      <x:c r="F72" s="28" t="str">
        <x:v>صلاحيات الدور والموظف والشركة والفرع — السيناريو الإيجابي</x:v>
      </x:c>
      <x:c r="G72" s="28" t="str">
        <x:v>جميع مسارات الموارد البشرية وطلبات API المقابلة لها</x:v>
      </x:c>
      <x:c r="H72" s="28" t="str">
        <x:v>USERS; ORG; PEOPLE; POLICY</x:v>
      </x:c>
      <x:c r="I72" s="28" t="str">
        <x:v>لكل مجال استخدم حساب المختص والمعتمِد والموظف واختبر القراءة والكتابة المسموحتين. كرر قراءة الفروع بالمدير المقيد ثم بحساب منفصل مخوّل صراحةً بعرض جميع الفروع.</x:v>
      </x:c>
      <x:c r="J72" s="28" t="str">
        <x:v>تعمل الإجراءات المسموحة ضمن الدور والموظف ونطاق الشركة والفرع المخصصين فقط. صلاحية عرض جميع الفروع لا تمنح صلاحية إجراء مفقودة.</x:v>
      </x:c>
      <x:c r="K72"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2" s="25"/>
      <x:c r="M72" s="25"/>
      <x:c r="N72" s="25"/>
      <x:c r="O72" s="25"/>
    </x:row>
    <x:row r="73" ht="190" customHeight="1">
      <x:c r="A73" s="28" t="str">
        <x:v>CTL-02-C</x:v>
      </x:c>
      <x:c r="B73" s="28" t="str">
        <x:v>CTL-02</x:v>
      </x:c>
      <x:c r="C73" s="28" t="str">
        <x:v>التقارير والضوابط المشتركة
مدير الموارد البشرية / مسؤول النظام</x:v>
      </x:c>
      <x:c r="D73" s="28" t="n">
        <x:v>1</x:v>
      </x:c>
      <x:c r="E73" s="28" t="str">
        <x:v>P0</x:v>
      </x:c>
      <x:c r="F73" s="28" t="str">
        <x:v>صلاحيات الدور والموظف والشركة والفرع — سيناريو الضوابط</x:v>
      </x:c>
      <x:c r="G73" s="28" t="str">
        <x:v>جميع مسارات الموارد البشرية وطلبات API المقابلة لها</x:v>
      </x:c>
      <x:c r="H73" s="28" t="str">
        <x:v>USERS; ORG; PEOPLE; POLICY</x:v>
      </x:c>
      <x:c r="I73" s="28" t="str">
        <x:v>لكل مجال حاول القراءة والإنشاء والتعديل والحذف والاعتماد عند انطباقها بعد إزالة الصلاحية. أعد إرسال الطلبات بمعرّف موظف أو شركة أو فرع آخر. اختبر مستخدمًا بلا وصول للموارد البشرية وجلسة غير مسجلة، وفرعَي مصدر النقل ووجهته.</x:v>
      </x:c>
      <x:c r="J73" s="28" t="str">
        <x:v>يرفض الخادم الإجراءات المحظورة ولا يكشف بيانات محمية. إخفاء الأزرار غير كافٍ. وثّق كل توليفة نقطة وصول وإجراء وهوية مع الرفض المتوقع.</x:v>
      </x:c>
      <x:c r="K73"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3" s="25"/>
      <x:c r="M73" s="25"/>
      <x:c r="N73" s="25"/>
      <x:c r="O73" s="25"/>
    </x:row>
    <x:row r="74" ht="190" customHeight="1">
      <x:c r="A74" s="28" t="str">
        <x:v>CTL-03-P</x:v>
      </x:c>
      <x:c r="B74" s="28" t="str">
        <x:v>CTL-03</x:v>
      </x:c>
      <x:c r="C74" s="28" t="str">
        <x:v>التقارير والضوابط المشتركة
مدير الموارد البشرية / مسؤول النظام</x:v>
      </x:c>
      <x:c r="D74" s="28" t="n">
        <x:v>1</x:v>
      </x:c>
      <x:c r="E74" s="28" t="str">
        <x:v>P1</x:v>
      </x:c>
      <x:c r="F74" s="28" t="str">
        <x:v>قابلية الاستخدام بالعربية والإنجليزية — السيناريو الإيجابي</x:v>
      </x:c>
      <x:c r="G74" s="28" t="str">
        <x:v>جميع مسارات قوائم ونماذج واعتمادات وتقارير الموارد البشرية</x:v>
      </x:c>
      <x:c r="H74" s="28" t="str">
        <x:v>USERS; PEOPLE</x:v>
      </x:c>
      <x:c r="I74" s="28" t="str">
        <x:v>في كل مجال افتح قائمة ونموذجًا وأدخل قيمًا تجريبية غير محفوظة. بدّل بين العربية والإنجليزية في الاتجاهين ثم احفظ. راجع التسميات والاتجاه والاختيارات والتحقق والجداول.</x:v>
      </x:c>
      <x:c r="J74" s="28" t="str">
        <x:v>تتحدث اللغة والاتجاه دون فقد القيم. تبقى الأدوات والأسماء والتواريخ والأرقام مقروءة وقابلة للاستخدام، ولا تتغير القيم المحفوظة.</x:v>
      </x:c>
      <x:c r="K74"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4" s="25"/>
      <x:c r="M74" s="25"/>
      <x:c r="N74" s="25"/>
      <x:c r="O74" s="25"/>
    </x:row>
    <x:row r="75" ht="190" customHeight="1">
      <x:c r="A75" s="28" t="str">
        <x:v>CTL-03-C</x:v>
      </x:c>
      <x:c r="B75" s="28" t="str">
        <x:v>CTL-03</x:v>
      </x:c>
      <x:c r="C75" s="28" t="str">
        <x:v>التقارير والضوابط المشتركة
مدير الموارد البشرية / مسؤول النظام</x:v>
      </x:c>
      <x:c r="D75" s="28" t="n">
        <x:v>1</x:v>
      </x:c>
      <x:c r="E75" s="28" t="str">
        <x:v>P1</x:v>
      </x:c>
      <x:c r="F75" s="28" t="str">
        <x:v>قابلية الاستخدام بالعربية والإنجليزية — سيناريو الضوابط</x:v>
      </x:c>
      <x:c r="G75" s="28" t="str">
        <x:v>جميع مسارات قوائم ونماذج واعتمادات وتقارير الموارد البشرية</x:v>
      </x:c>
      <x:c r="H75" s="28" t="str">
        <x:v>USERS; PEOPLE</x:v>
      </x:c>
      <x:c r="I75" s="28" t="str">
        <x:v>كرر التبديل أثناء التحقق ومع أسماء طويلة باللغتين وفي النوافذ المنبثقة وعلى شاشة ضيقة. افحص إجراءات الاعتماد والتقارير بحثًا عن قص أو إجراءات يتعذر الوصول إليها.</x:v>
      </x:c>
      <x:c r="J75" s="28" t="str">
        <x:v>تبقى الأخطاء والإجراءات مفهومة ومتاحة. لا يعيد التبديل تعيين الموظف المحدد ولا يكرر الحفظ ولا يعكس القيم الوظيفية.</x:v>
      </x:c>
      <x:c r="K75"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5" s="25"/>
      <x:c r="M75" s="25"/>
      <x:c r="N75" s="25"/>
      <x:c r="O75" s="25"/>
    </x:row>
    <x:row r="76" ht="190" customHeight="1">
      <x:c r="A76" s="28" t="str">
        <x:v>CTL-04-P</x:v>
      </x:c>
      <x:c r="B76" s="28" t="str">
        <x:v>CTL-04</x:v>
      </x:c>
      <x:c r="C76" s="28" t="str">
        <x:v>التقارير والضوابط المشتركة
مدير الموارد البشرية / مسؤول النظام</x:v>
      </x:c>
      <x:c r="D76" s="28" t="n">
        <x:v>1</x:v>
      </x:c>
      <x:c r="E76" s="28" t="str">
        <x:v>P0</x:v>
      </x:c>
      <x:c r="F76" s="28" t="str">
        <x:v>الأخطاء والتحقق وتكرار الإجراءات — السيناريو الإيجابي</x:v>
      </x:c>
      <x:c r="G76" s="28" t="str">
        <x:v>جميع مسارات الإنشاء والتعديل والاعتماد للموارد البشرية</x:v>
      </x:c>
      <x:c r="H76" s="28" t="str">
        <x:v>USERS; POLICY</x:v>
      </x:c>
      <x:c r="I76" s="28" t="str">
        <x:v>لكل مجال احفظ سجلًا صحيحًا وحدّث الصفحة. في جلسة الاختبار المعزولة حاكِ طلبًا فاشلًا وراقب الرسالة، ثم استعد الاتصال وأعد المحاولة بالبيانات نفسها.</x:v>
      </x:c>
      <x:c r="J76" s="28" t="str">
        <x:v>تبقى القيم المثبتة بعد التحديث. لا تُظهر الطلبات الفاشلة نجاحًا، وتنتج إعادة المحاولة تغييرًا محفوظًا واحدًا مقصودًا.</x:v>
      </x:c>
      <x:c r="K76"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6" s="25"/>
      <x:c r="M76" s="25"/>
      <x:c r="N76" s="25"/>
      <x:c r="O76" s="25"/>
    </x:row>
    <x:row r="77" ht="190" customHeight="1">
      <x:c r="A77" s="28" t="str">
        <x:v>CTL-04-C</x:v>
      </x:c>
      <x:c r="B77" s="28" t="str">
        <x:v>CTL-04</x:v>
      </x:c>
      <x:c r="C77" s="28" t="str">
        <x:v>التقارير والضوابط المشتركة
مدير الموارد البشرية / مسؤول النظام</x:v>
      </x:c>
      <x:c r="D77" s="28" t="n">
        <x:v>1</x:v>
      </x:c>
      <x:c r="E77" s="28" t="str">
        <x:v>P0</x:v>
      </x:c>
      <x:c r="F77" s="28" t="str">
        <x:v>الأخطاء والتحقق وتكرار الإجراءات — سيناريو الضوابط</x:v>
      </x:c>
      <x:c r="G77" s="28" t="str">
        <x:v>جميع مسارات الإنشاء والتعديل والاعتماد للموارد البشرية</x:v>
      </x:c>
      <x:c r="H77" s="28" t="str">
        <x:v>USERS; POLICY</x:v>
      </x:c>
      <x:c r="I77" s="28" t="str">
        <x:v>انقر الحفظ أو الاعتماد مرتين وأعد الطلب نفسه وأرسل حقولًا غير صحيحة وحدّث الصفحة أثناء فشل الحفظ. قارن أعداد السجلات والحركات قبل الإجراء وبعده.</x:v>
      </x:c>
      <x:c r="J77" s="28" t="str">
        <x:v>لا يُخفى تكرار حركة وظيفية أو تحديث جزئي. تحافظ الأخطاء الواضحة على المدخلات القابلة للاستعادة، ولا تنجح الإجراءات المكررة نجاحًا زائفًا.</x:v>
      </x:c>
      <x:c r="K77"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7" s="25"/>
      <x:c r="M77" s="25"/>
      <x:c r="N77" s="25"/>
      <x:c r="O77" s="25"/>
    </x:row>
    <x:row r="78" ht="190" customHeight="1">
      <x:c r="A78" s="28" t="str">
        <x:v>E2E-01</x:v>
      </x:c>
      <x:c r="B78" s="28" t="str">
        <x:v>E2E-01</x:v>
      </x:c>
      <x:c r="C78" s="28" t="str">
        <x:v>مسارات العمل المتكاملة
منسق اختبار القبول / مسؤولو مجالات العمل</x:v>
      </x:c>
      <x:c r="D78" s="28" t="n">
        <x:v>5</x:v>
      </x:c>
      <x:c r="E78" s="28" t="str">
        <x:v>P0</x:v>
      </x:c>
      <x:c r="F78" s="28" t="str">
        <x:v>من طلب التوظيف إلى تعيين الراتب</x:v>
      </x:c>
      <x:c r="G78" s="28" t="str">
        <x:v>/HR/Recruitment; /Employee/Employee/List; /HR/PayrollStructures</x:v>
      </x:c>
      <x:c r="H78" s="28" t="str">
        <x:v>RECRUIT; PEOPLE; PAYREF; USERS</x:v>
      </x:c>
      <x:c r="I78" s="28" t="str">
        <x:v>أنشئ طلب توظيف وافتحه، وسجّل المتقدم والمقابلة، واقبل العرض، وأنشئ الموظف أو حدده واربطه بالعرض ثم عيّن أساس الراتب. حدّث كل مرحلة ووثّق المعرّفات.</x:v>
      </x:c>
      <x:c r="J78" s="28" t="str">
        <x:v>يرتبط متقدم وعرض مقبول وموظف واحد بشكل صحيح، ويحصل الموظف على تعيين راتب نافذ معتمد. تُوثق الخطوات اليدوية ولا يُفترض الإنشاء التلقائي.</x:v>
      </x:c>
      <x:c r="K78"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8" s="25"/>
      <x:c r="M78" s="25"/>
      <x:c r="N78" s="25"/>
      <x:c r="O78" s="25"/>
    </x:row>
    <x:row r="79" ht="190" customHeight="1">
      <x:c r="A79" s="28" t="str">
        <x:v>E2E-02</x:v>
      </x:c>
      <x:c r="B79" s="28" t="str">
        <x:v>E2E-02</x:v>
      </x:c>
      <x:c r="C79" s="28" t="str">
        <x:v>مسارات العمل المتكاملة
منسق اختبار القبول / مسؤولو مجالات العمل</x:v>
      </x:c>
      <x:c r="D79" s="28" t="n">
        <x:v>5</x:v>
      </x:c>
      <x:c r="E79" s="28" t="str">
        <x:v>P0</x:v>
      </x:c>
      <x:c r="F79" s="28" t="str">
        <x:v>من الحضور إلى المحاسبة</x:v>
      </x:c>
      <x:c r="G79" s="28" t="str">
        <x:v>/Attendance/MyAttendance; /HR/AttendanceRoster; /HR/WorkEntries; /HR/SaudiPayroll; /HR/Payslips</x:v>
      </x:c>
      <x:c r="H79" s="28" t="str">
        <x:v>TIMELINE; LEAVEREF; PAYREF; ACCOUNTING; USERS</x:v>
      </x:c>
      <x:c r="I79" s="28" t="str">
        <x:v>سجّل جلسة واعتمد تصحيحها وطبّقه. ولّد مدخل العمل واعتمده واقفله، ثم استورده مرة واحدة إلى الرواتب وولّد الكشف واعتمده ورحّل إلى المحاسبة. قارن الكميات والمبالغ في كل انتقال.</x:v>
      </x:c>
      <x:c r="J79" s="28" t="str">
        <x:v>يمكن تتبع معرّفات الجلسة ومدخل العمل ومدخل الرواتب والكشف والقيد المحاسبي. تتطابق الساعات والمبالغ دون احتساب أو ترحيل مكرر. غياب واجهة إجراء يُسجل كفجوة.</x:v>
      </x:c>
      <x:c r="K79"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79" s="25"/>
      <x:c r="M79" s="25"/>
      <x:c r="N79" s="25"/>
      <x:c r="O79" s="25"/>
    </x:row>
    <x:row r="80" ht="190" customHeight="1">
      <x:c r="A80" s="28" t="str">
        <x:v>E2E-03</x:v>
      </x:c>
      <x:c r="B80" s="28" t="str">
        <x:v>E2E-03</x:v>
      </x:c>
      <x:c r="C80" s="28" t="str">
        <x:v>مسارات العمل المتكاملة
منسق اختبار القبول / مسؤولو مجالات العمل</x:v>
      </x:c>
      <x:c r="D80" s="28" t="n">
        <x:v>5</x:v>
      </x:c>
      <x:c r="E80" s="28" t="str">
        <x:v>P0</x:v>
      </x:c>
      <x:c r="F80" s="28" t="str">
        <x:v>من تخصيص الإجازة إلى إلغائها</x:v>
      </x:c>
      <x:c r="G80" s="28" t="str">
        <x:v>/HR/LeavePolicies; /LeavesManagement/MyLeaveApplications; /HR/LeaveApplications; /HR/LeaveLedger; /Attendance/Reports</x:v>
      </x:c>
      <x:c r="H80" s="28" t="str">
        <x:v>LEAVEREF; CALENDAR; USERS</x:v>
      </x:c>
      <x:c r="I80" s="28" t="str">
        <x:v>خصص الاستحقاق، وقدّم الطلب بحساب الموظف واعتمده بحساب المدير. راجع الحضور ومدخلات العمل المؤثرة في الرواتب وصالح الرصيد. ألغِ الطلب عبر الإجراء المسموح وأعد المصالحة.</x:v>
      </x:c>
      <x:c r="J80" s="28" t="str">
        <x:v>يؤثر الاعتماد في الأيام المقصودة مرة واحدة. يعيد الإلغاء المعالجة الصحيحة للإجازة والحضور، وتتطابق القيم الافتتاحية والخصم والعكس والختامية بين الشاشات.</x:v>
      </x:c>
      <x:c r="K80"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80" s="25"/>
      <x:c r="M80" s="25"/>
      <x:c r="N80" s="25"/>
      <x:c r="O80" s="25"/>
    </x:row>
    <x:row r="81" ht="190" customHeight="1">
      <x:c r="A81" s="28" t="str">
        <x:v>E2E-04</x:v>
      </x:c>
      <x:c r="B81" s="28" t="str">
        <x:v>E2E-04</x:v>
      </x:c>
      <x:c r="C81" s="28" t="str">
        <x:v>مسارات العمل المتكاملة
منسق اختبار القبول / مسؤولو مجالات العمل</x:v>
      </x:c>
      <x:c r="D81" s="28" t="n">
        <x:v>5</x:v>
      </x:c>
      <x:c r="E81" s="28" t="str">
        <x:v>P0</x:v>
      </x:c>
      <x:c r="F81" s="28" t="str">
        <x:v>آثار النقل وإنهاء الخدمة على العمليات المرتبطة</x:v>
      </x:c>
      <x:c r="G81" s="28" t="str">
        <x:v>/Employee/Employee/List; /HR/EmployeeLifecycle; /HR/AttendanceRoster; /HR/Payslips; /HR/Reports</x:v>
      </x:c>
      <x:c r="H81" s="28" t="str">
        <x:v>PEOPLE; POLICY; PAYREF; USERS</x:v>
      </x:c>
      <x:c r="I81" s="28" t="str">
        <x:v>انقل EMP-MOVE وتحقق من الوصول في المصدر والوجهة والجداول والإجازات والرواتب والتقارير عند تواريخ السريان. بشكل مستقل أنهِ خدمة EMP-EXIT وكرر فحوص الأهلية والوصول اللاحقة.</x:v>
      </x:c>
      <x:c r="J81" s="28" t="str">
        <x:v>يتوافق كل سلوك لاحق مع مصفوفة النقل والإنهاء المعتمدة، ويبقى التاريخ متاحًا للموارد البشرية المصرح لها، ويُربط كل ضابط مفقود بملاحظة ومسؤول.</x:v>
      </x:c>
      <x:c r="K81" s="28" t="str">
        <x:v>معرّفات السجلات قبل الإجراء وبعده، ولقطات الشاشة أو نتائج الطلبات والاستجابات، والحسابات والملفات عند انطباقها. حدّد كل سيناريو فرعي ودور مستخدم.</x:v>
      </x:c>
      <x:c r="L81" s="25"/>
      <x:c r="M81" s="25"/>
      <x:c r="N81" s="25"/>
      <x:c r="O81" s="25"/>
    </x:row>
  </x:sheetData>
  <x:pageMargins left="0.7" right="0.7" top="0.75" bottom="0.75" header="0.3" footer="0.3"/>
  <x:tableParts count="1">
    <x:tablePart r:id="Rf7a6764184d84fa7"/>
  </x:tableParts>
</x:worksheet>
</file>

<file path=xl/worksheets/sheet4.xml><?xml version="1.0" encoding="utf-8"?>
<x:worksheet xmlns:r="http://schemas.openxmlformats.org/officeDocument/2006/relationships" xmlns:x="http://schemas.openxmlformats.org/spreadsheetml/2006/main">
  <x:sheetViews>
    <x:sheetView showGridLines="0" workbookViewId="0" rightToLeft="1">
      <x:pane xSplit="1" ySplit="5" topLeftCell="B6" activePane="bottomRight" state="frozen"/>
    </x:sheetView>
  </x:sheetViews>
  <x:sheetFormatPr defaultRowHeight="15"/>
  <x:cols>
    <x:col min="1" max="1" width="18" hidden="0" customWidth="1"/>
    <x:col min="2" max="2" width="29" hidden="0" customWidth="1"/>
    <x:col min="3" max="3" width="29" hidden="0" customWidth="1"/>
    <x:col min="4" max="4" width="95" hidden="0" customWidth="1"/>
    <x:col min="5" max="5" width="20" hidden="0" customWidth="1"/>
    <x:col min="6" max="6" width="60" hidden="0" customWidth="1"/>
    <x:col min="7" max="7" width="30" hidden="0" customWidth="1"/>
    <x:col min="8" max="8" width="20" hidden="0" customWidth="1"/>
  </x:cols>
  <x:sheetData>
    <x:row r="1">
      <x:c r="A1" s="25"/>
      <x:c r="B1" s="25"/>
      <x:c r="C1" s="25"/>
      <x:c r="D1" s="25"/>
      <x:c r="E1" s="25"/>
      <x:c r="F1" s="25"/>
      <x:c r="G1" s="25"/>
      <x:c r="H1" s="25"/>
      <x:c r="I1" s="25"/>
      <x:c r="J1" s="25"/>
      <x:c r="K1" s="25"/>
      <x:c r="L1" s="25"/>
      <x:c r="M1" s="25"/>
      <x:c r="N1" s="25"/>
      <x:c r="O1" s="25"/>
    </x:row>
    <x:row r="2" ht="23" customHeight="1">
      <x:c r="A2" s="26" t="str">
        <x:v>التحضير لاختبارات الموارد البشرية</x:v>
      </x:c>
      <x:c r="B2" s="25"/>
      <x:c r="C2" s="25"/>
      <x:c r="D2" s="25"/>
      <x:c r="E2" s="25"/>
      <x:c r="F2" s="25"/>
      <x:c r="G2" s="25"/>
      <x:c r="H2" s="25"/>
      <x:c r="I2" s="25"/>
      <x:c r="J2" s="25"/>
      <x:c r="K2" s="25"/>
      <x:c r="L2" s="25"/>
      <x:c r="M2" s="25"/>
      <x:c r="N2" s="25"/>
      <x:c r="O2" s="25"/>
    </x:row>
    <x:row r="3" ht="38" customHeight="1">
      <x:c r="A3" s="31" t="str">
        <x:v>الجاهزية تتطلب معرّفات فعلية أو مرجعًا معتمدًا، إضافة إلى المعتمِد وتاريخ الاعتماد؛ القيم المؤقتة ليست مراجع معتمدة.</x:v>
      </x:c>
      <x:c r="B3" s="31"/>
      <x:c r="C3" s="31"/>
      <x:c r="D3" s="31"/>
      <x:c r="E3" s="31"/>
      <x:c r="F3" s="31"/>
      <x:c r="G3" s="31"/>
      <x:c r="H3" s="31"/>
      <x:c r="I3" s="25"/>
      <x:c r="J3" s="25"/>
      <x:c r="K3" s="25"/>
      <x:c r="L3" s="25"/>
      <x:c r="M3" s="25"/>
      <x:c r="N3" s="25"/>
      <x:c r="O3" s="25"/>
    </x:row>
    <x:row r="4">
      <x:c r="A4" s="25"/>
      <x:c r="B4" s="25"/>
      <x:c r="C4" s="25"/>
      <x:c r="D4" s="25"/>
      <x:c r="E4" s="25"/>
      <x:c r="F4" s="25"/>
      <x:c r="G4" s="25"/>
      <x:c r="H4" s="25"/>
      <x:c r="I4" s="25"/>
      <x:c r="J4" s="25"/>
      <x:c r="K4" s="25"/>
      <x:c r="L4" s="25"/>
      <x:c r="M4" s="25"/>
      <x:c r="N4" s="25"/>
      <x:c r="O4" s="25"/>
    </x:row>
    <x:row r="5" ht="48" customHeight="1">
      <x:c r="A5" s="27" t="str">
        <x:v>معرّف بيانات الاختبار</x:v>
      </x:c>
      <x:c r="B5" s="27" t="str">
        <x:v>المتطلب</x:v>
      </x:c>
      <x:c r="C5" s="27" t="str">
        <x:v>المسؤول</x:v>
      </x:c>
      <x:c r="D5" s="27" t="str">
        <x:v>المحتوى المطلوب</x:v>
      </x:c>
      <x:c r="E5" s="27" t="str">
        <x:v>الحالة</x:v>
      </x:c>
      <x:c r="F5" s="27" t="str">
        <x:v>المعرّفات الفعلية / المرجع المعتمد / الأدلة</x:v>
      </x:c>
      <x:c r="G5" s="27" t="str">
        <x:v>المعتمِد / تاريخ الاعتماد</x:v>
      </x:c>
      <x:c r="H5" s="27" t="str">
        <x:v>جاهز مع الأدلة (1/0)</x:v>
      </x:c>
      <x:c r="I5" s="25"/>
      <x:c r="J5" s="25"/>
      <x:c r="K5" s="25"/>
      <x:c r="L5" s="25"/>
      <x:c r="M5" s="25"/>
      <x:c r="N5" s="25"/>
      <x:c r="O5" s="25"/>
    </x:row>
    <x:row r="6" ht="100" customHeight="1">
      <x:c r="A6" s="28" t="str">
        <x:v>ENV</x:v>
      </x:c>
      <x:c r="B6" s="28" t="str">
        <x:v>بيئة الاختبار</x:v>
      </x:c>
      <x:c r="C6" s="28" t="str">
        <x:v>منسق اختبار القبول</x:v>
      </x:c>
      <x:c r="D6" s="28" t="str">
        <x:v>سجّل رابطَي الواجهة والخدمة API وقاعدة البيانات المعزولة والإصدار أو معرّف التغيير ووقت النشر والمتصفح والجهاز ودورة الاختبار. أكد إجراء النسخ الاحتياطي وإعادة التهيئة.</x:v>
      </x:c>
      <x:c r="E6" s="29" t="str">
        <x:v>غير جاهز</x:v>
      </x:c>
      <x:c r="F6" s="29" t="str"/>
      <x:c r="G6" s="29" t="str"/>
      <x:c r="H6" s="28" t="n">
        <x:f>IF(AND(E6="جاهز",F6&lt;&gt;"",G6&lt;&gt;""),1,0)</x:f>
        <x:v>0</x:v>
      </x:c>
      <x:c r="I6" s="25"/>
      <x:c r="J6" s="25"/>
      <x:c r="K6" s="25"/>
      <x:c r="L6" s="25"/>
      <x:c r="M6" s="25"/>
      <x:c r="N6" s="25"/>
      <x:c r="O6" s="25"/>
    </x:row>
    <x:row r="7" ht="100" customHeight="1">
      <x:c r="A7" s="28" t="str">
        <x:v>ORG</x:v>
      </x:c>
      <x:c r="B7" s="28" t="str">
        <x:v>الهيكل التنظيمي</x:v>
      </x:c>
      <x:c r="C7" s="28" t="str">
        <x:v>مسؤول النظام</x:v>
      </x:c>
      <x:c r="D7" s="28" t="str">
        <x:v>أنشئ UAT-CO-A وUAT-CO-B، وفرعَي A-MAIN وA-SECOND، وقسمين ومسميات وظيفية. سجّل المعرّفات الفعلية الناتجة دون استخدام سجلات الإنتاج.</x:v>
      </x:c>
      <x:c r="E7" s="29" t="str">
        <x:v>غير جاهز</x:v>
      </x:c>
      <x:c r="F7" s="29" t="str"/>
      <x:c r="G7" s="29" t="str"/>
      <x:c r="H7" s="28" t="n">
        <x:f>IF(AND(E7="جاهز",F7&lt;&gt;"",G7&lt;&gt;""),1,0)</x:f>
        <x:v>0</x:v>
      </x:c>
      <x:c r="I7" s="25"/>
      <x:c r="J7" s="25"/>
      <x:c r="K7" s="25"/>
      <x:c r="L7" s="25"/>
      <x:c r="M7" s="25"/>
      <x:c r="N7" s="25"/>
      <x:c r="O7" s="25"/>
    </x:row>
    <x:row r="8" ht="100" customHeight="1">
      <x:c r="A8" s="28" t="str">
        <x:v>USERS</x:v>
      </x:c>
      <x:c r="B8" s="28" t="str">
        <x:v>الحسابات والصلاحيات</x:v>
      </x:c>
      <x:c r="C8" s="28" t="str">
        <x:v>مسؤول النظام</x:v>
      </x:c>
      <x:c r="D8" s="28" t="str">
        <x:v>أنشئ مسؤول موارد بشرية ومختصين لكل مجال ومعتمِدًا ومديرَين مقيدَين بالفروع وحسابَي موظفين وحساب قراءة فقط وآخر بلا وصول للموارد البشرية. وثّق صلاحيات الإجراءات والنطاق صراحةً، دون كلمات مرور أو رموز دخول.</x:v>
      </x:c>
      <x:c r="E8" s="29" t="str">
        <x:v>غير جاهز</x:v>
      </x:c>
      <x:c r="F8" s="29" t="str"/>
      <x:c r="G8" s="29" t="str"/>
      <x:c r="H8" s="28" t="n">
        <x:f>IF(AND(E8="جاهز",F8&lt;&gt;"",G8&lt;&gt;""),1,0)</x:f>
        <x:v>0</x:v>
      </x:c>
      <x:c r="I8" s="25"/>
      <x:c r="J8" s="25"/>
      <x:c r="K8" s="25"/>
      <x:c r="L8" s="25"/>
      <x:c r="M8" s="25"/>
      <x:c r="N8" s="25"/>
      <x:c r="O8" s="25"/>
    </x:row>
    <x:row r="9" ht="100" customHeight="1">
      <x:c r="A9" s="28" t="str">
        <x:v>PEOPLE</x:v>
      </x:c>
      <x:c r="B9" s="28" t="str">
        <x:v>بيانات الموظفين التجريبية</x:v>
      </x:c>
      <x:c r="C9" s="28" t="str">
        <x:v>مدير شؤون الموظفين</x:v>
      </x:c>
      <x:c r="D9" s="28" t="str">
        <x:v>أنشئ EMP-NEW وEMP-REG وEMP-NIGHT وEMP-LOAN وEMP-MOVE وEMP-EXIT في الشركة A وموظفًا آخر في B. اربط الأسماء الرمزية بالمعرّفات والفرع والقسم والمسمى والتواريخ والمستخدم. خصص بيانات مستقلة للاختبارات التي تغيّر الحالة نهائيًا.</x:v>
      </x:c>
      <x:c r="E9" s="29" t="str">
        <x:v>غير جاهز</x:v>
      </x:c>
      <x:c r="F9" s="29" t="str"/>
      <x:c r="G9" s="29" t="str"/>
      <x:c r="H9" s="28" t="n">
        <x:f>IF(AND(E9="جاهز",F9&lt;&gt;"",G9&lt;&gt;""),1,0)</x:f>
        <x:v>0</x:v>
      </x:c>
      <x:c r="I9" s="25"/>
      <x:c r="J9" s="25"/>
      <x:c r="K9" s="25"/>
      <x:c r="L9" s="25"/>
      <x:c r="M9" s="25"/>
      <x:c r="N9" s="25"/>
      <x:c r="O9" s="25"/>
    </x:row>
    <x:row r="10" ht="100" customHeight="1">
      <x:c r="A10" s="28" t="str">
        <x:v>POLICY</x:v>
      </x:c>
      <x:c r="B10" s="28" t="str">
        <x:v>قواعد العمل المعتمدة</x:v>
      </x:c>
      <x:c r="C10" s="28" t="str">
        <x:v>مسؤولو الموارد البشرية / الرواتب</x:v>
      </x:c>
      <x:c r="D10" s="28" t="str">
        <x:v>أرفق قواعد موقعة ومحددة الإصدار لصلاحيات الاعتماد واحتساب الإجازة وتداخلها والرصيد السالب ومعالجة الموقع وتواريخ السريان وآثار النقل والإنهاء ومزامنة التدريب وتقريب الرواتب. حدد مسار الرواتب المعتمد للإنتاج.</x:v>
      </x:c>
      <x:c r="E10" s="29" t="str">
        <x:v>غير جاهز</x:v>
      </x:c>
      <x:c r="F10" s="29" t="str"/>
      <x:c r="G10" s="29" t="str"/>
      <x:c r="H10" s="28" t="n">
        <x:f>IF(AND(E10="جاهز",F10&lt;&gt;"",G10&lt;&gt;""),1,0)</x:f>
        <x:v>0</x:v>
      </x:c>
      <x:c r="I10" s="25"/>
      <x:c r="J10" s="25"/>
      <x:c r="K10" s="25"/>
      <x:c r="L10" s="25"/>
      <x:c r="M10" s="25"/>
      <x:c r="N10" s="25"/>
      <x:c r="O10" s="25"/>
    </x:row>
    <x:row r="11" ht="100" customHeight="1">
      <x:c r="A11" s="28" t="str">
        <x:v>CALENDAR</x:v>
      </x:c>
      <x:c r="B11" s="28" t="str">
        <x:v>تقويم العمل</x:v>
      </x:c>
      <x:c r="C11" s="28" t="str">
        <x:v>مسؤولو الحضور / الإجازات</x:v>
      </x:c>
      <x:c r="D11" s="28" t="str">
        <x:v>اختر شهر رواتب كاملًا وحدد أيام العمل ونهاية الأسبوع والعطل ومواعيد الورديات النهارية والليلية. اعتمد احتساب أيام الإجازة وإسناد تاريخ الوردية الليلية. استخدم Asia/Riyadh للعرض ووثّق ما يقابله بتوقيت UTC.</x:v>
      </x:c>
      <x:c r="E11" s="29" t="str">
        <x:v>غير جاهز</x:v>
      </x:c>
      <x:c r="F11" s="29" t="str"/>
      <x:c r="G11" s="29" t="str"/>
      <x:c r="H11" s="28" t="n">
        <x:f>IF(AND(E11="جاهز",F11&lt;&gt;"",G11&lt;&gt;""),1,0)</x:f>
        <x:v>0</x:v>
      </x:c>
      <x:c r="I11" s="25"/>
      <x:c r="J11" s="25"/>
      <x:c r="K11" s="25"/>
      <x:c r="L11" s="25"/>
      <x:c r="M11" s="25"/>
      <x:c r="N11" s="25"/>
      <x:c r="O11" s="25"/>
    </x:row>
    <x:row r="12" ht="100" customHeight="1">
      <x:c r="A12" s="28" t="str">
        <x:v>TIMELINE</x:v>
      </x:c>
      <x:c r="B12" s="28" t="str">
        <x:v>مراجع الحضور</x:v>
      </x:c>
      <x:c r="C12" s="28" t="str">
        <x:v>مسؤول الحضور</x:v>
      </x:c>
      <x:c r="D12" s="28" t="str">
        <x:v>مرجع أوقات مستقل ليوم عادي واستراحة ووردية ليلية وتأخر وانصراف مفقود وتصحيح. اعتمد دقائق المدة الإجمالية والاستراحة وصافي العمل لكل تاريخ ومدخلات الإجازة المعتمدة.</x:v>
      </x:c>
      <x:c r="E12" s="29" t="str">
        <x:v>غير جاهز</x:v>
      </x:c>
      <x:c r="F12" s="29" t="str"/>
      <x:c r="G12" s="29" t="str"/>
      <x:c r="H12" s="28" t="n">
        <x:f>IF(AND(E12="جاهز",F12&lt;&gt;"",G12&lt;&gt;""),1,0)</x:f>
        <x:v>0</x:v>
      </x:c>
      <x:c r="I12" s="25"/>
      <x:c r="J12" s="25"/>
      <x:c r="K12" s="25"/>
      <x:c r="L12" s="25"/>
      <x:c r="M12" s="25"/>
      <x:c r="N12" s="25"/>
      <x:c r="O12" s="25"/>
    </x:row>
    <x:row r="13" ht="100" customHeight="1">
      <x:c r="A13" s="28" t="str">
        <x:v>GEO</x:v>
      </x:c>
      <x:c r="B13" s="28" t="str">
        <x:v>حالات الموقع الجغرافي</x:v>
      </x:c>
      <x:c r="C13" s="28" t="str">
        <x:v>مسؤول الحضور</x:v>
      </x:c>
      <x:c r="D13" s="28" t="str">
        <x:v>وثّق النطاق الاختباري وإحداثيات الداخل والخارج والحدود المعتمدة ودقتها، والنتائج المتوقعة عند رفض إذن الموقع أو عدم توفره وضعف الدقة والموقع الوهمي. استخدم جهاز اختبار.</x:v>
      </x:c>
      <x:c r="E13" s="29" t="str">
        <x:v>غير جاهز</x:v>
      </x:c>
      <x:c r="F13" s="29" t="str"/>
      <x:c r="G13" s="29" t="str"/>
      <x:c r="H13" s="28" t="n">
        <x:f>IF(AND(E13="جاهز",F13&lt;&gt;"",G13&lt;&gt;""),1,0)</x:f>
        <x:v>0</x:v>
      </x:c>
      <x:c r="I13" s="25"/>
      <x:c r="J13" s="25"/>
      <x:c r="K13" s="25"/>
      <x:c r="L13" s="25"/>
      <x:c r="M13" s="25"/>
      <x:c r="N13" s="25"/>
      <x:c r="O13" s="25"/>
    </x:row>
    <x:row r="14" ht="100" customHeight="1">
      <x:c r="A14" s="28" t="str">
        <x:v>BIO</x:v>
      </x:c>
      <x:c r="B14" s="28" t="str">
        <x:v>صفوف استيراد البصمة</x:v>
      </x:c>
      <x:c r="C14" s="28" t="str">
        <x:v>مسؤول الحضور</x:v>
      </x:c>
      <x:c r="D14" s="28" t="str">
        <x:v>جهّز صفوفًا تجريبية صحيحة ومكررة وأخرى بموظف أو وقت غير صحيح مع الجلسات والأعداد المتوقعة. وثّق المنطقة الزمنية للمصدر ومعرّف الجهاز ومعرّفات الدفعات.</x:v>
      </x:c>
      <x:c r="E14" s="29" t="str">
        <x:v>غير جاهز</x:v>
      </x:c>
      <x:c r="F14" s="29" t="str"/>
      <x:c r="G14" s="29" t="str"/>
      <x:c r="H14" s="28" t="n">
        <x:f>IF(AND(E14="جاهز",F14&lt;&gt;"",G14&lt;&gt;""),1,0)</x:f>
        <x:v>0</x:v>
      </x:c>
      <x:c r="I14" s="25"/>
      <x:c r="J14" s="25"/>
      <x:c r="K14" s="25"/>
      <x:c r="L14" s="25"/>
      <x:c r="M14" s="25"/>
      <x:c r="N14" s="25"/>
      <x:c r="O14" s="25"/>
    </x:row>
    <x:row r="15" ht="100" customHeight="1">
      <x:c r="A15" s="28" t="str">
        <x:v>FILES</x:v>
      </x:c>
      <x:c r="B15" s="28" t="str">
        <x:v>المرفقات التجريبية</x:v>
      </x:c>
      <x:c r="C15" s="28" t="str">
        <x:v>مدير شؤون الموظفين</x:v>
      </x:c>
      <x:c r="D15" s="28" t="str">
        <x:v>جهّز مستندات وشهادات تجريبية قابلة للفتح ومراجع مفقودة أو غير صحيحة. وثّق أنواع المرفقات المسموحة ومتطلبات الوصول.</x:v>
      </x:c>
      <x:c r="E15" s="29" t="str">
        <x:v>غير جاهز</x:v>
      </x:c>
      <x:c r="F15" s="29" t="str"/>
      <x:c r="G15" s="29" t="str"/>
      <x:c r="H15" s="28" t="n">
        <x:f>IF(AND(E15="جاهز",F15&lt;&gt;"",G15&lt;&gt;""),1,0)</x:f>
        <x:v>0</x:v>
      </x:c>
      <x:c r="I15" s="25"/>
      <x:c r="J15" s="25"/>
      <x:c r="K15" s="25"/>
      <x:c r="L15" s="25"/>
      <x:c r="M15" s="25"/>
      <x:c r="N15" s="25"/>
      <x:c r="O15" s="25"/>
    </x:row>
    <x:row r="16" ht="100" customHeight="1">
      <x:c r="A16" s="28" t="str">
        <x:v>RECRUIT</x:v>
      </x:c>
      <x:c r="B16" s="28" t="str">
        <x:v>بيانات التوظيف التجريبية</x:v>
      </x:c>
      <x:c r="C16" s="28" t="str">
        <x:v>مسؤول التوظيف</x:v>
      </x:c>
      <x:c r="D16" s="28" t="str">
        <x:v>خطة قوى عاملة واحدة وطلبا توظيف ومتقدمان ومقابلة بدرجات وعرض مقبول وآخر مرفوض. اعتمد مقياس الدرجات والانتقالات وخطوة إنشاء الموظف اليدوية.</x:v>
      </x:c>
      <x:c r="E16" s="29" t="str">
        <x:v>غير جاهز</x:v>
      </x:c>
      <x:c r="F16" s="29" t="str"/>
      <x:c r="G16" s="29" t="str"/>
      <x:c r="H16" s="28" t="n">
        <x:f>IF(AND(E16="جاهز",F16&lt;&gt;"",G16&lt;&gt;""),1,0)</x:f>
        <x:v>0</x:v>
      </x:c>
      <x:c r="I16" s="25"/>
      <x:c r="J16" s="25"/>
      <x:c r="K16" s="25"/>
      <x:c r="L16" s="25"/>
      <x:c r="M16" s="25"/>
      <x:c r="N16" s="25"/>
      <x:c r="O16" s="25"/>
    </x:row>
    <x:row r="17" ht="100" customHeight="1">
      <x:c r="A17" s="28" t="str">
        <x:v>LEAVEREF</x:v>
      </x:c>
      <x:c r="B17" s="28" t="str">
        <x:v>سجل الإجازات المرجعي</x:v>
      </x:c>
      <x:c r="C17" s="28" t="str">
        <x:v>مسؤول الإجازات</x:v>
      </x:c>
      <x:c r="D17" s="28" t="str">
        <x:v>اعتمد بصورة مستقلة لكل موظف ونوع وفترة الرصيد الافتتاحي والتخصيص والتسوية وخصم الاعتماد وصفر الرفض وعكس الإلغاء وخصم المقابل النقدي. سجّل الرصيد الختامي المتوقع بعد كل خطوة.</x:v>
      </x:c>
      <x:c r="E17" s="29" t="str">
        <x:v>غير جاهز</x:v>
      </x:c>
      <x:c r="F17" s="29" t="str"/>
      <x:c r="G17" s="29" t="str"/>
      <x:c r="H17" s="28" t="n">
        <x:f>IF(AND(E17="جاهز",F17&lt;&gt;"",G17&lt;&gt;""),1,0)</x:f>
        <x:v>0</x:v>
      </x:c>
      <x:c r="I17" s="25"/>
      <x:c r="J17" s="25"/>
      <x:c r="K17" s="25"/>
      <x:c r="L17" s="25"/>
      <x:c r="M17" s="25"/>
      <x:c r="N17" s="25"/>
      <x:c r="O17" s="25"/>
    </x:row>
    <x:row r="18" ht="100" customHeight="1">
      <x:c r="A18" s="28" t="str">
        <x:v>PAYREF</x:v>
      </x:c>
      <x:c r="B18" s="28" t="str">
        <x:v>ورقة الرواتب المرجعية</x:v>
      </x:c>
      <x:c r="C18" s="28" t="str">
        <x:v>مدير الرواتب</x:v>
      </x:c>
      <x:c r="D18" s="28" t="str">
        <x:v>اعتمد موظفي فترة كاملة ومكونات الرواتب وتعييناتها النافذة وكميات الحضور والتناسب الزمني وأقساط القروض والنسب والإجمالي والخصومات والصافي وسماحية التقريب. افصل بيانات المسار القديم والقيود وأضف حالة تكرار بين المسارين. لا تنسخ مخرجات التطبيق بوصفها قيمًا متوقعة.</x:v>
      </x:c>
      <x:c r="E18" s="29" t="str">
        <x:v>غير جاهز</x:v>
      </x:c>
      <x:c r="F18" s="29" t="str"/>
      <x:c r="G18" s="29" t="str"/>
      <x:c r="H18" s="28" t="n">
        <x:f>IF(AND(E18="جاهز",F18&lt;&gt;"",G18&lt;&gt;""),1,0)</x:f>
        <x:v>0</x:v>
      </x:c>
      <x:c r="I18" s="25"/>
      <x:c r="J18" s="25"/>
      <x:c r="K18" s="25"/>
      <x:c r="L18" s="25"/>
      <x:c r="M18" s="25"/>
      <x:c r="N18" s="25"/>
      <x:c r="O18" s="25"/>
    </x:row>
    <x:row r="19" ht="100" customHeight="1">
      <x:c r="A19" s="28" t="str">
        <x:v>ACCOUNTING</x:v>
      </x:c>
      <x:c r="B19" s="28" t="str">
        <x:v>المرجع المحاسبي</x:v>
      </x:c>
      <x:c r="C19" s="28" t="str">
        <x:v>الإدارة المالية</x:v>
      </x:c>
      <x:c r="D19" s="28" t="str">
        <x:v>اعتمد اليوميات والحسابات والمدين والدائن المتوقعين ومصالحة الرواتب لكل شركة وفرع. جهّز حالة مستقلة بإعداد محاسبي ناقص لاختبار الاستعادة بعد فشل الترحيل.</x:v>
      </x:c>
      <x:c r="E19" s="29" t="str">
        <x:v>غير جاهز</x:v>
      </x:c>
      <x:c r="F19" s="29" t="str"/>
      <x:c r="G19" s="29" t="str"/>
      <x:c r="H19" s="28" t="n">
        <x:f>IF(AND(E19="جاهز",F19&lt;&gt;"",G19&lt;&gt;""),1,0)</x:f>
        <x:v>0</x:v>
      </x:c>
      <x:c r="I19" s="25"/>
      <x:c r="J19" s="25"/>
      <x:c r="K19" s="25"/>
      <x:c r="L19" s="25"/>
      <x:c r="M19" s="25"/>
      <x:c r="N19" s="25"/>
      <x:c r="O19" s="25"/>
    </x:row>
    <x:row r="20" ht="100" customHeight="1">
      <x:c r="A20" s="28" t="str">
        <x:v>WPS</x:v>
      </x:c>
      <x:c r="B20" s="28" t="str">
        <x:v>مواصفات ملف حماية الأجور</x:v>
      </x:c>
      <x:c r="C20" s="28" t="str">
        <x:v>الرواتب / الإدارة المالية</x:v>
      </x:c>
      <x:c r="D20" s="28" t="str">
        <x:v>قدّم تنسيق الملف المعتمد لدى الجهة المستقبلة وعينة أو مخططًا والموظفين المؤهلين والتحقق من البيانات البنكية وإجماليات الدفع المتوقعة. حالة التصدير وحدها لا تثبت وجود ملف.</x:v>
      </x:c>
      <x:c r="E20" s="29" t="str">
        <x:v>غير جاهز</x:v>
      </x:c>
      <x:c r="F20" s="29" t="str"/>
      <x:c r="G20" s="29" t="str"/>
      <x:c r="H20" s="28" t="n">
        <x:f>IF(AND(E20="جاهز",F20&lt;&gt;"",G20&lt;&gt;""),1,0)</x:f>
        <x:v>0</x:v>
      </x:c>
      <x:c r="I20" s="25"/>
      <x:c r="J20" s="25"/>
      <x:c r="K20" s="25"/>
      <x:c r="L20" s="25"/>
      <x:c r="M20" s="25"/>
      <x:c r="N20" s="25"/>
      <x:c r="O20" s="25"/>
    </x:row>
    <x:row r="21" ht="100" customHeight="1">
      <x:c r="A21" s="28" t="str">
        <x:v>EOS</x:v>
      </x:c>
      <x:c r="B21" s="28" t="str">
        <x:v>مرجع نهاية الخدمة</x:v>
      </x:c>
      <x:c r="C21" s="28" t="str">
        <x:v>الرواتب / الإدارة المالية</x:v>
      </x:c>
      <x:c r="D21" s="28" t="str">
        <x:v>قدّم طريقة الحساب والنسب المعتمدة ومدخلات الموظف وتواريخ خدمته وتاريخ المرجع ومبالغ المخصص المتوقعة. لا تُفترض النسب النظامية من القيم الافتراضية في الشيفرة.</x:v>
      </x:c>
      <x:c r="E21" s="29" t="str">
        <x:v>غير جاهز</x:v>
      </x:c>
      <x:c r="F21" s="29" t="str"/>
      <x:c r="G21" s="29" t="str"/>
      <x:c r="H21" s="28" t="n">
        <x:f>IF(AND(E21="جاهز",F21&lt;&gt;"",G21&lt;&gt;""),1,0)</x:f>
        <x:v>0</x:v>
      </x:c>
      <x:c r="I21" s="25"/>
      <x:c r="J21" s="25"/>
      <x:c r="K21" s="25"/>
      <x:c r="L21" s="25"/>
      <x:c r="M21" s="25"/>
      <x:c r="N21" s="25"/>
      <x:c r="O21" s="25"/>
    </x:row>
    <x:row r="22" ht="100" customHeight="1">
      <x:c r="A22" s="28" t="str">
        <x:v>PERF</x:v>
      </x:c>
      <x:c r="B22" s="28" t="str">
        <x:v>مرجع تقييم الأداء</x:v>
      </x:c>
      <x:c r="C22" s="28" t="str">
        <x:v>مدير إدارة الأداء</x:v>
      </x:c>
      <x:c r="D22" s="28" t="str">
        <x:v>اعتمد الدورة وموظفَين والأهداف والأوزان والكفاءات ونطاقات الدرجات ومكونات وإجمالي وتقدير محسوبة بصورة مستقلة، وأدوار انتقالات الحالة المسموحة.</x:v>
      </x:c>
      <x:c r="E22" s="29" t="str">
        <x:v>غير جاهز</x:v>
      </x:c>
      <x:c r="F22" s="29" t="str"/>
      <x:c r="G22" s="29" t="str"/>
      <x:c r="H22" s="28" t="n">
        <x:f>IF(AND(E22="جاهز",F22&lt;&gt;"",G22&lt;&gt;""),1,0)</x:f>
        <x:v>0</x:v>
      </x:c>
      <x:c r="I22" s="25"/>
      <x:c r="J22" s="25"/>
      <x:c r="K22" s="25"/>
      <x:c r="L22" s="25"/>
      <x:c r="M22" s="25"/>
      <x:c r="N22" s="25"/>
      <x:c r="O22" s="25"/>
    </x:row>
    <x:row r="23" ht="100" customHeight="1">
      <x:c r="A23" s="28" t="str">
        <x:v>TRAIN</x:v>
      </x:c>
      <x:c r="B23" s="28" t="str">
        <x:v>بيانات التدريب التجريبية</x:v>
      </x:c>
      <x:c r="C23" s="28" t="str">
        <x:v>منسق التدريب</x:v>
      </x:c>
      <x:c r="D23" s="28" t="str">
        <x:v>أنشئ برنامجًا وفعالية ومشاركَين بحضور ونتائج مختلفة. اعتمد قواعد الإكمال والشهادة والنتائج المتوقعة في سجل الموظف.</x:v>
      </x:c>
      <x:c r="E23" s="29" t="str">
        <x:v>غير جاهز</x:v>
      </x:c>
      <x:c r="F23" s="29" t="str"/>
      <x:c r="G23" s="29" t="str"/>
      <x:c r="H23" s="28" t="n">
        <x:f>IF(AND(E23="جاهز",F23&lt;&gt;"",G23&lt;&gt;""),1,0)</x:f>
        <x:v>0</x:v>
      </x:c>
      <x:c r="I23" s="25"/>
      <x:c r="J23" s="25"/>
      <x:c r="K23" s="25"/>
      <x:c r="L23" s="25"/>
      <x:c r="M23" s="25"/>
      <x:c r="N23" s="25"/>
      <x:c r="O23" s="25"/>
    </x:row>
    <x:row r="24" ht="100" customHeight="1">
      <x:c r="A24" s="28" t="str">
        <x:v>REPORTREF</x:v>
      </x:c>
      <x:c r="B24" s="28" t="str">
        <x:v>ضوابط التقارير</x:v>
      </x:c>
      <x:c r="C24" s="28" t="str">
        <x:v>مسؤولو مجالات العمل</x:v>
      </x:c>
      <x:c r="D24" s="28" t="str">
        <x:v>اعتمد فئات معرّفات السجلات والأعداد والإجماليات حسب الموظف والتاريخ والشركة والفرع لكل تقرير موارد بشرية، مع أمثلة بلا نتائج وحدود تاريخية والتنقل بين الصفحات.</x:v>
      </x:c>
      <x:c r="E24" s="29" t="str">
        <x:v>غير جاهز</x:v>
      </x:c>
      <x:c r="F24" s="29" t="str"/>
      <x:c r="G24" s="29" t="str"/>
      <x:c r="H24" s="28" t="n">
        <x:f>IF(AND(E24="جاهز",F24&lt;&gt;"",G24&lt;&gt;""),1,0)</x:f>
        <x:v>0</x:v>
      </x:c>
      <x:c r="I24" s="25"/>
      <x:c r="J24" s="25"/>
      <x:c r="K24" s="25"/>
      <x:c r="L24" s="25"/>
      <x:c r="M24" s="25"/>
      <x:c r="N24" s="25"/>
      <x:c r="O24" s="25"/>
    </x:row>
    <x:row r="25">
      <x:c r="A25" s="25"/>
      <x:c r="B25" s="25"/>
      <x:c r="C25" s="25"/>
      <x:c r="D25" s="25"/>
      <x:c r="E25" s="25"/>
      <x:c r="F25" s="25"/>
      <x:c r="G25" s="25"/>
      <x:c r="H25" s="25"/>
      <x:c r="I25" s="25"/>
      <x:c r="J25" s="25"/>
      <x:c r="K25" s="25"/>
      <x:c r="L25" s="25"/>
      <x:c r="M25" s="25"/>
      <x:c r="N25" s="25"/>
      <x:c r="O25" s="25"/>
    </x:row>
    <x:row r="26">
      <x:c r="A26" s="25"/>
      <x:c r="B26" s="25"/>
      <x:c r="C26" s="25"/>
      <x:c r="D26" s="25"/>
      <x:c r="E26" s="25"/>
      <x:c r="F26" s="25"/>
      <x:c r="G26" s="25"/>
      <x:c r="H26" s="25"/>
      <x:c r="I26" s="25"/>
      <x:c r="J26" s="25"/>
      <x:c r="K26" s="25"/>
      <x:c r="L26" s="25"/>
      <x:c r="M26" s="25"/>
      <x:c r="N26" s="25"/>
      <x:c r="O26" s="25"/>
    </x:row>
    <x:row r="27">
      <x:c r="A27" s="25"/>
      <x:c r="B27" s="25"/>
      <x:c r="C27" s="25"/>
      <x:c r="D27" s="25"/>
      <x:c r="E27" s="25"/>
      <x:c r="F27" s="25"/>
      <x:c r="G27" s="25"/>
      <x:c r="H27" s="25"/>
      <x:c r="I27" s="25"/>
      <x:c r="J27" s="25"/>
      <x:c r="K27" s="25"/>
      <x:c r="L27" s="25"/>
      <x:c r="M27" s="25"/>
      <x:c r="N27" s="25"/>
      <x:c r="O27" s="25"/>
    </x:row>
    <x:row r="28">
      <x:c r="A28" s="25"/>
      <x:c r="B28" s="25"/>
      <x:c r="C28" s="25"/>
      <x:c r="D28" s="25"/>
      <x:c r="E28" s="25"/>
      <x:c r="F28" s="25"/>
      <x:c r="G28" s="25"/>
      <x:c r="H28" s="25"/>
      <x:c r="I28" s="25"/>
      <x:c r="J28" s="25"/>
      <x:c r="K28" s="25"/>
      <x:c r="L28" s="25"/>
      <x:c r="M28" s="25"/>
      <x:c r="N28" s="25"/>
      <x:c r="O28" s="25"/>
    </x:row>
    <x:row r="29">
      <x:c r="A29" s="25"/>
      <x:c r="B29" s="25"/>
      <x:c r="C29" s="25"/>
      <x:c r="D29" s="25"/>
      <x:c r="E29" s="25"/>
      <x:c r="F29" s="25"/>
      <x:c r="G29" s="25"/>
      <x:c r="H29" s="25"/>
      <x:c r="I29" s="25"/>
      <x:c r="J29" s="25"/>
      <x:c r="K29" s="25"/>
      <x:c r="L29" s="25"/>
      <x:c r="M29" s="25"/>
      <x:c r="N29" s="25"/>
      <x:c r="O29" s="25"/>
    </x:row>
    <x:row r="30">
      <x:c r="A30" s="25"/>
      <x:c r="B30" s="25"/>
      <x:c r="C30" s="25"/>
      <x:c r="D30" s="25"/>
      <x:c r="E30" s="25"/>
      <x:c r="F30" s="25"/>
      <x:c r="G30" s="25"/>
      <x:c r="H30" s="25"/>
      <x:c r="I30" s="25"/>
      <x:c r="J30" s="25"/>
      <x:c r="K30" s="25"/>
      <x:c r="L30" s="25"/>
      <x:c r="M30" s="25"/>
      <x:c r="N30" s="25"/>
      <x:c r="O30" s="25"/>
    </x:row>
    <x:row r="31">
      <x:c r="A31" s="25"/>
      <x:c r="B31" s="25"/>
      <x:c r="C31" s="25"/>
      <x:c r="D31" s="25"/>
      <x:c r="E31" s="25"/>
      <x:c r="F31" s="25"/>
      <x:c r="G31" s="25"/>
      <x:c r="H31" s="25"/>
      <x:c r="I31" s="25"/>
      <x:c r="J31" s="25"/>
      <x:c r="K31" s="25"/>
      <x:c r="L31" s="25"/>
      <x:c r="M31" s="25"/>
      <x:c r="N31" s="25"/>
      <x:c r="O31" s="25"/>
    </x:row>
    <x:row r="32">
      <x:c r="A32" s="25"/>
      <x:c r="B32" s="25"/>
      <x:c r="C32" s="25"/>
      <x:c r="D32" s="25"/>
      <x:c r="E32" s="25"/>
      <x:c r="F32" s="25"/>
      <x:c r="G32" s="25"/>
      <x:c r="H32" s="25"/>
      <x:c r="I32" s="25"/>
      <x:c r="J32" s="25"/>
      <x:c r="K32" s="25"/>
      <x:c r="L32" s="25"/>
      <x:c r="M32" s="25"/>
      <x:c r="N32" s="25"/>
      <x:c r="O32" s="25"/>
    </x:row>
    <x:row r="33">
      <x:c r="A33" s="25"/>
      <x:c r="B33" s="25"/>
      <x:c r="C33" s="25"/>
      <x:c r="D33" s="25"/>
      <x:c r="E33" s="25"/>
      <x:c r="F33" s="25"/>
      <x:c r="G33" s="25"/>
      <x:c r="H33" s="25"/>
      <x:c r="I33" s="25"/>
      <x:c r="J33" s="25"/>
      <x:c r="K33" s="25"/>
      <x:c r="L33" s="25"/>
      <x:c r="M33" s="25"/>
      <x:c r="N33" s="25"/>
      <x:c r="O33" s="25"/>
    </x:row>
    <x:row r="34">
      <x:c r="A34" s="25"/>
      <x:c r="B34" s="25"/>
      <x:c r="C34" s="25"/>
      <x:c r="D34" s="25"/>
      <x:c r="E34" s="25"/>
      <x:c r="F34" s="25"/>
      <x:c r="G34" s="25"/>
      <x:c r="H34" s="25"/>
      <x:c r="I34" s="25"/>
      <x:c r="J34" s="25"/>
      <x:c r="K34" s="25"/>
      <x:c r="L34" s="25"/>
      <x:c r="M34" s="25"/>
      <x:c r="N34" s="25"/>
      <x:c r="O34" s="25"/>
    </x:row>
    <x:row r="35">
      <x:c r="A35" s="25"/>
      <x:c r="B35" s="25"/>
      <x:c r="C35" s="25"/>
      <x:c r="D35" s="25"/>
      <x:c r="E35" s="25"/>
      <x:c r="F35" s="25"/>
      <x:c r="G35" s="25"/>
      <x:c r="H35" s="25"/>
      <x:c r="I35" s="25"/>
      <x:c r="J35" s="25"/>
      <x:c r="K35" s="25"/>
      <x:c r="L35" s="25"/>
      <x:c r="M35" s="25"/>
      <x:c r="N35" s="25"/>
      <x:c r="O35" s="25"/>
    </x:row>
    <x:row r="36">
      <x:c r="A36" s="25"/>
      <x:c r="B36" s="25"/>
      <x:c r="C36" s="25"/>
      <x:c r="D36" s="25"/>
      <x:c r="E36" s="25"/>
      <x:c r="F36" s="25"/>
      <x:c r="G36" s="25"/>
      <x:c r="H36" s="25"/>
      <x:c r="I36" s="25"/>
      <x:c r="J36" s="25"/>
      <x:c r="K36" s="25"/>
      <x:c r="L36" s="25"/>
      <x:c r="M36" s="25"/>
      <x:c r="N36" s="25"/>
      <x:c r="O36" s="25"/>
    </x:row>
    <x:row r="37">
      <x:c r="A37" s="25"/>
      <x:c r="B37" s="25"/>
      <x:c r="C37" s="25"/>
      <x:c r="D37" s="25"/>
      <x:c r="E37" s="25"/>
      <x:c r="F37" s="25"/>
      <x:c r="G37" s="25"/>
      <x:c r="H37" s="25"/>
      <x:c r="I37" s="25"/>
      <x:c r="J37" s="25"/>
      <x:c r="K37" s="25"/>
      <x:c r="L37" s="25"/>
      <x:c r="M37" s="25"/>
      <x:c r="N37" s="25"/>
      <x:c r="O37" s="25"/>
    </x:row>
    <x:row r="38">
      <x:c r="A38" s="25"/>
      <x:c r="B38" s="25"/>
      <x:c r="C38" s="25"/>
      <x:c r="D38" s="25"/>
      <x:c r="E38" s="25"/>
      <x:c r="F38" s="25"/>
      <x:c r="G38" s="25"/>
      <x:c r="H38" s="25"/>
      <x:c r="I38" s="25"/>
      <x:c r="J38" s="25"/>
      <x:c r="K38" s="25"/>
      <x:c r="L38" s="25"/>
      <x:c r="M38" s="25"/>
      <x:c r="N38" s="25"/>
      <x:c r="O38" s="25"/>
    </x:row>
    <x:row r="39">
      <x:c r="A39" s="25"/>
      <x:c r="B39" s="25"/>
      <x:c r="C39" s="25"/>
      <x:c r="D39" s="25"/>
      <x:c r="E39" s="25"/>
      <x:c r="F39" s="25"/>
      <x:c r="G39" s="25"/>
      <x:c r="H39" s="25"/>
      <x:c r="I39" s="25"/>
      <x:c r="J39" s="25"/>
      <x:c r="K39" s="25"/>
      <x:c r="L39" s="25"/>
      <x:c r="M39" s="25"/>
      <x:c r="N39" s="25"/>
      <x:c r="O39" s="25"/>
    </x:row>
    <x:row r="40">
      <x:c r="A40" s="25"/>
      <x:c r="B40" s="25"/>
      <x:c r="C40" s="25"/>
      <x:c r="D40" s="25"/>
      <x:c r="E40" s="25"/>
      <x:c r="F40" s="25"/>
      <x:c r="G40" s="25"/>
      <x:c r="H40" s="25"/>
      <x:c r="I40" s="25"/>
      <x:c r="J40" s="25"/>
      <x:c r="K40" s="25"/>
      <x:c r="L40" s="25"/>
      <x:c r="M40" s="25"/>
      <x:c r="N40" s="25"/>
      <x:c r="O40" s="25"/>
    </x:row>
    <x:row r="41">
      <x:c r="A41" s="25"/>
      <x:c r="B41" s="25"/>
      <x:c r="C41" s="25"/>
      <x:c r="D41" s="25"/>
      <x:c r="E41" s="25"/>
      <x:c r="F41" s="25"/>
      <x:c r="G41" s="25"/>
      <x:c r="H41" s="25"/>
      <x:c r="I41" s="25"/>
      <x:c r="J41" s="25"/>
      <x:c r="K41" s="25"/>
      <x:c r="L41" s="25"/>
      <x:c r="M41" s="25"/>
      <x:c r="N41" s="25"/>
      <x:c r="O41" s="25"/>
    </x:row>
    <x:row r="42">
      <x:c r="A42" s="25"/>
      <x:c r="B42" s="25"/>
      <x:c r="C42" s="25"/>
      <x:c r="D42" s="25"/>
      <x:c r="E42" s="25"/>
      <x:c r="F42" s="25"/>
      <x:c r="G42" s="25"/>
      <x:c r="H42" s="25"/>
      <x:c r="I42" s="25"/>
      <x:c r="J42" s="25"/>
      <x:c r="K42" s="25"/>
      <x:c r="L42" s="25"/>
      <x:c r="M42" s="25"/>
      <x:c r="N42" s="25"/>
      <x:c r="O42" s="25"/>
    </x:row>
    <x:row r="43">
      <x:c r="A43" s="25"/>
      <x:c r="B43" s="25"/>
      <x:c r="C43" s="25"/>
      <x:c r="D43" s="25"/>
      <x:c r="E43" s="25"/>
      <x:c r="F43" s="25"/>
      <x:c r="G43" s="25"/>
      <x:c r="H43" s="25"/>
      <x:c r="I43" s="25"/>
      <x:c r="J43" s="25"/>
      <x:c r="K43" s="25"/>
      <x:c r="L43" s="25"/>
      <x:c r="M43" s="25"/>
      <x:c r="N43" s="25"/>
      <x:c r="O43" s="25"/>
    </x:row>
    <x:row r="44">
      <x:c r="A44" s="25"/>
      <x:c r="B44" s="25"/>
      <x:c r="C44" s="25"/>
      <x:c r="D44" s="25"/>
      <x:c r="E44" s="25"/>
      <x:c r="F44" s="25"/>
      <x:c r="G44" s="25"/>
      <x:c r="H44" s="25"/>
      <x:c r="I44" s="25"/>
      <x:c r="J44" s="25"/>
      <x:c r="K44" s="25"/>
      <x:c r="L44" s="25"/>
      <x:c r="M44" s="25"/>
      <x:c r="N44" s="25"/>
      <x:c r="O44" s="25"/>
    </x:row>
    <x:row r="45">
      <x:c r="A45" s="25"/>
      <x:c r="B45" s="25"/>
      <x:c r="C45" s="25"/>
      <x:c r="D45" s="25"/>
      <x:c r="E45" s="25"/>
      <x:c r="F45" s="25"/>
      <x:c r="G45" s="25"/>
      <x:c r="H45" s="25"/>
      <x:c r="I45" s="25"/>
      <x:c r="J45" s="25"/>
      <x:c r="K45" s="25"/>
      <x:c r="L45" s="25"/>
      <x:c r="M45" s="25"/>
      <x:c r="N45" s="25"/>
      <x:c r="O45" s="25"/>
    </x:row>
    <x:row r="46">
      <x:c r="A46" s="25"/>
      <x:c r="B46" s="25"/>
      <x:c r="C46" s="25"/>
      <x:c r="D46" s="25"/>
      <x:c r="E46" s="25"/>
      <x:c r="F46" s="25"/>
      <x:c r="G46" s="25"/>
      <x:c r="H46" s="25"/>
      <x:c r="I46" s="25"/>
      <x:c r="J46" s="25"/>
      <x:c r="K46" s="25"/>
      <x:c r="L46" s="25"/>
      <x:c r="M46" s="25"/>
      <x:c r="N46" s="25"/>
      <x:c r="O46" s="25"/>
    </x:row>
    <x:row r="47">
      <x:c r="A47" s="25"/>
      <x:c r="B47" s="25"/>
      <x:c r="C47" s="25"/>
      <x:c r="D47" s="25"/>
      <x:c r="E47" s="25"/>
      <x:c r="F47" s="25"/>
      <x:c r="G47" s="25"/>
      <x:c r="H47" s="25"/>
      <x:c r="I47" s="25"/>
      <x:c r="J47" s="25"/>
      <x:c r="K47" s="25"/>
      <x:c r="L47" s="25"/>
      <x:c r="M47" s="25"/>
      <x:c r="N47" s="25"/>
      <x:c r="O47" s="25"/>
    </x:row>
    <x:row r="48">
      <x:c r="A48" s="25"/>
      <x:c r="B48" s="25"/>
      <x:c r="C48" s="25"/>
      <x:c r="D48" s="25"/>
      <x:c r="E48" s="25"/>
      <x:c r="F48" s="25"/>
      <x:c r="G48" s="25"/>
      <x:c r="H48" s="25"/>
      <x:c r="I48" s="25"/>
      <x:c r="J48" s="25"/>
      <x:c r="K48" s="25"/>
      <x:c r="L48" s="25"/>
      <x:c r="M48" s="25"/>
      <x:c r="N48" s="25"/>
      <x:c r="O48" s="25"/>
    </x:row>
    <x:row r="49">
      <x:c r="A49" s="25"/>
      <x:c r="B49" s="25"/>
      <x:c r="C49" s="25"/>
      <x:c r="D49" s="25"/>
      <x:c r="E49" s="25"/>
      <x:c r="F49" s="25"/>
      <x:c r="G49" s="25"/>
      <x:c r="H49" s="25"/>
      <x:c r="I49" s="25"/>
      <x:c r="J49" s="25"/>
      <x:c r="K49" s="25"/>
      <x:c r="L49" s="25"/>
      <x:c r="M49" s="25"/>
      <x:c r="N49" s="25"/>
      <x:c r="O49" s="25"/>
    </x:row>
    <x:row r="50">
      <x:c r="A50" s="25"/>
      <x:c r="B50" s="25"/>
      <x:c r="C50" s="25"/>
      <x:c r="D50" s="25"/>
      <x:c r="E50" s="25"/>
      <x:c r="F50" s="25"/>
      <x:c r="G50" s="25"/>
      <x:c r="H50" s="25"/>
      <x:c r="I50" s="25"/>
      <x:c r="J50" s="25"/>
      <x:c r="K50" s="25"/>
      <x:c r="L50" s="25"/>
      <x:c r="M50" s="25"/>
      <x:c r="N50" s="25"/>
      <x:c r="O50" s="25"/>
    </x:row>
    <x:row r="51">
      <x:c r="A51" s="25"/>
      <x:c r="B51" s="25"/>
      <x:c r="C51" s="25"/>
      <x:c r="D51" s="25"/>
      <x:c r="E51" s="25"/>
      <x:c r="F51" s="25"/>
      <x:c r="G51" s="25"/>
      <x:c r="H51" s="25"/>
      <x:c r="I51" s="25"/>
      <x:c r="J51" s="25"/>
      <x:c r="K51" s="25"/>
      <x:c r="L51" s="25"/>
      <x:c r="M51" s="25"/>
      <x:c r="N51" s="25"/>
      <x:c r="O51" s="25"/>
    </x:row>
    <x:row r="52">
      <x:c r="A52" s="25"/>
      <x:c r="B52" s="25"/>
      <x:c r="C52" s="25"/>
      <x:c r="D52" s="25"/>
      <x:c r="E52" s="25"/>
      <x:c r="F52" s="25"/>
      <x:c r="G52" s="25"/>
      <x:c r="H52" s="25"/>
      <x:c r="I52" s="25"/>
      <x:c r="J52" s="25"/>
      <x:c r="K52" s="25"/>
      <x:c r="L52" s="25"/>
      <x:c r="M52" s="25"/>
      <x:c r="N52" s="25"/>
      <x:c r="O52" s="25"/>
    </x:row>
    <x:row r="53">
      <x:c r="A53" s="25"/>
      <x:c r="B53" s="25"/>
      <x:c r="C53" s="25"/>
      <x:c r="D53" s="25"/>
      <x:c r="E53" s="25"/>
      <x:c r="F53" s="25"/>
      <x:c r="G53" s="25"/>
      <x:c r="H53" s="25"/>
      <x:c r="I53" s="25"/>
      <x:c r="J53" s="25"/>
      <x:c r="K53" s="25"/>
      <x:c r="L53" s="25"/>
      <x:c r="M53" s="25"/>
      <x:c r="N53" s="25"/>
      <x:c r="O53" s="25"/>
    </x:row>
    <x:row r="54">
      <x:c r="A54" s="25"/>
      <x:c r="B54" s="25"/>
      <x:c r="C54" s="25"/>
      <x:c r="D54" s="25"/>
      <x:c r="E54" s="25"/>
      <x:c r="F54" s="25"/>
      <x:c r="G54" s="25"/>
      <x:c r="H54" s="25"/>
      <x:c r="I54" s="25"/>
      <x:c r="J54" s="25"/>
      <x:c r="K54" s="25"/>
      <x:c r="L54" s="25"/>
      <x:c r="M54" s="25"/>
      <x:c r="N54" s="25"/>
      <x:c r="O54" s="25"/>
    </x:row>
    <x:row r="55">
      <x:c r="A55" s="25"/>
      <x:c r="B55" s="25"/>
      <x:c r="C55" s="25"/>
      <x:c r="D55" s="25"/>
      <x:c r="E55" s="25"/>
      <x:c r="F55" s="25"/>
      <x:c r="G55" s="25"/>
      <x:c r="H55" s="25"/>
      <x:c r="I55" s="25"/>
      <x:c r="J55" s="25"/>
      <x:c r="K55" s="25"/>
      <x:c r="L55" s="25"/>
      <x:c r="M55" s="25"/>
      <x:c r="N55" s="25"/>
      <x:c r="O55" s="25"/>
    </x:row>
    <x:row r="56">
      <x:c r="A56" s="25"/>
      <x:c r="B56" s="25"/>
      <x:c r="C56" s="25"/>
      <x:c r="D56" s="25"/>
      <x:c r="E56" s="25"/>
      <x:c r="F56" s="25"/>
      <x:c r="G56" s="25"/>
      <x:c r="H56" s="25"/>
      <x:c r="I56" s="25"/>
      <x:c r="J56" s="25"/>
      <x:c r="K56" s="25"/>
      <x:c r="L56" s="25"/>
      <x:c r="M56" s="25"/>
      <x:c r="N56" s="25"/>
      <x:c r="O56" s="25"/>
    </x:row>
    <x:row r="57">
      <x:c r="A57" s="25"/>
      <x:c r="B57" s="25"/>
      <x:c r="C57" s="25"/>
      <x:c r="D57" s="25"/>
      <x:c r="E57" s="25"/>
      <x:c r="F57" s="25"/>
      <x:c r="G57" s="25"/>
      <x:c r="H57" s="25"/>
      <x:c r="I57" s="25"/>
      <x:c r="J57" s="25"/>
      <x:c r="K57" s="25"/>
      <x:c r="L57" s="25"/>
      <x:c r="M57" s="25"/>
      <x:c r="N57" s="25"/>
      <x:c r="O57" s="25"/>
    </x:row>
    <x:row r="58">
      <x:c r="A58" s="25"/>
      <x:c r="B58" s="25"/>
      <x:c r="C58" s="25"/>
      <x:c r="D58" s="25"/>
      <x:c r="E58" s="25"/>
      <x:c r="F58" s="25"/>
      <x:c r="G58" s="25"/>
      <x:c r="H58" s="25"/>
      <x:c r="I58" s="25"/>
      <x:c r="J58" s="25"/>
      <x:c r="K58" s="25"/>
      <x:c r="L58" s="25"/>
      <x:c r="M58" s="25"/>
      <x:c r="N58" s="25"/>
      <x:c r="O58" s="25"/>
    </x:row>
    <x:row r="59">
      <x:c r="A59" s="25"/>
      <x:c r="B59" s="25"/>
      <x:c r="C59" s="25"/>
      <x:c r="D59" s="25"/>
      <x:c r="E59" s="25"/>
      <x:c r="F59" s="25"/>
      <x:c r="G59" s="25"/>
      <x:c r="H59" s="25"/>
      <x:c r="I59" s="25"/>
      <x:c r="J59" s="25"/>
      <x:c r="K59" s="25"/>
      <x:c r="L59" s="25"/>
      <x:c r="M59" s="25"/>
      <x:c r="N59" s="25"/>
      <x:c r="O59" s="25"/>
    </x:row>
    <x:row r="60">
      <x:c r="A60" s="25"/>
      <x:c r="B60" s="25"/>
      <x:c r="C60" s="25"/>
      <x:c r="D60" s="25"/>
      <x:c r="E60" s="25"/>
      <x:c r="F60" s="25"/>
      <x:c r="G60" s="25"/>
      <x:c r="H60" s="25"/>
      <x:c r="I60" s="25"/>
      <x:c r="J60" s="25"/>
      <x:c r="K60" s="25"/>
      <x:c r="L60" s="25"/>
      <x:c r="M60" s="25"/>
      <x:c r="N60" s="25"/>
      <x:c r="O60" s="25"/>
    </x:row>
    <x:row r="61">
      <x:c r="A61" s="25"/>
      <x:c r="B61" s="25"/>
      <x:c r="C61" s="25"/>
      <x:c r="D61" s="25"/>
      <x:c r="E61" s="25"/>
      <x:c r="F61" s="25"/>
      <x:c r="G61" s="25"/>
      <x:c r="H61" s="25"/>
      <x:c r="I61" s="25"/>
      <x:c r="J61" s="25"/>
      <x:c r="K61" s="25"/>
      <x:c r="L61" s="25"/>
      <x:c r="M61" s="25"/>
      <x:c r="N61" s="25"/>
      <x:c r="O61" s="25"/>
    </x:row>
    <x:row r="62">
      <x:c r="A62" s="25"/>
      <x:c r="B62" s="25"/>
      <x:c r="C62" s="25"/>
      <x:c r="D62" s="25"/>
      <x:c r="E62" s="25"/>
      <x:c r="F62" s="25"/>
      <x:c r="G62" s="25"/>
      <x:c r="H62" s="25"/>
      <x:c r="I62" s="25"/>
      <x:c r="J62" s="25"/>
      <x:c r="K62" s="25"/>
      <x:c r="L62" s="25"/>
      <x:c r="M62" s="25"/>
      <x:c r="N62" s="25"/>
      <x:c r="O62" s="25"/>
    </x:row>
    <x:row r="63">
      <x:c r="A63" s="25"/>
      <x:c r="B63" s="25"/>
      <x:c r="C63" s="25"/>
      <x:c r="D63" s="25"/>
      <x:c r="E63" s="25"/>
      <x:c r="F63" s="25"/>
      <x:c r="G63" s="25"/>
      <x:c r="H63" s="25"/>
      <x:c r="I63" s="25"/>
      <x:c r="J63" s="25"/>
      <x:c r="K63" s="25"/>
      <x:c r="L63" s="25"/>
      <x:c r="M63" s="25"/>
      <x:c r="N63" s="25"/>
      <x:c r="O63" s="25"/>
    </x:row>
    <x:row r="64">
      <x:c r="A64" s="25"/>
      <x:c r="B64" s="25"/>
      <x:c r="C64" s="25"/>
      <x:c r="D64" s="25"/>
      <x:c r="E64" s="25"/>
      <x:c r="F64" s="25"/>
      <x:c r="G64" s="25"/>
      <x:c r="H64" s="25"/>
      <x:c r="I64" s="25"/>
      <x:c r="J64" s="25"/>
      <x:c r="K64" s="25"/>
      <x:c r="L64" s="25"/>
      <x:c r="M64" s="25"/>
      <x:c r="N64" s="25"/>
      <x:c r="O64" s="25"/>
    </x:row>
    <x:row r="65">
      <x:c r="A65" s="25"/>
      <x:c r="B65" s="25"/>
      <x:c r="C65" s="25"/>
      <x:c r="D65" s="25"/>
      <x:c r="E65" s="25"/>
      <x:c r="F65" s="25"/>
      <x:c r="G65" s="25"/>
      <x:c r="H65" s="25"/>
      <x:c r="I65" s="25"/>
      <x:c r="J65" s="25"/>
      <x:c r="K65" s="25"/>
      <x:c r="L65" s="25"/>
      <x:c r="M65" s="25"/>
      <x:c r="N65" s="25"/>
      <x:c r="O65" s="25"/>
    </x:row>
    <x:row r="66">
      <x:c r="A66" s="25"/>
      <x:c r="B66" s="25"/>
      <x:c r="C66" s="25"/>
      <x:c r="D66" s="25"/>
      <x:c r="E66" s="25"/>
      <x:c r="F66" s="25"/>
      <x:c r="G66" s="25"/>
      <x:c r="H66" s="25"/>
      <x:c r="I66" s="25"/>
      <x:c r="J66" s="25"/>
      <x:c r="K66" s="25"/>
      <x:c r="L66" s="25"/>
      <x:c r="M66" s="25"/>
      <x:c r="N66" s="25"/>
      <x:c r="O66" s="25"/>
    </x:row>
    <x:row r="67">
      <x:c r="A67" s="25"/>
      <x:c r="B67" s="25"/>
      <x:c r="C67" s="25"/>
      <x:c r="D67" s="25"/>
      <x:c r="E67" s="25"/>
      <x:c r="F67" s="25"/>
      <x:c r="G67" s="25"/>
      <x:c r="H67" s="25"/>
      <x:c r="I67" s="25"/>
      <x:c r="J67" s="25"/>
      <x:c r="K67" s="25"/>
      <x:c r="L67" s="25"/>
      <x:c r="M67" s="25"/>
      <x:c r="N67" s="25"/>
      <x:c r="O67" s="25"/>
    </x:row>
    <x:row r="68">
      <x:c r="A68" s="25"/>
      <x:c r="B68" s="25"/>
      <x:c r="C68" s="25"/>
      <x:c r="D68" s="25"/>
      <x:c r="E68" s="25"/>
      <x:c r="F68" s="25"/>
      <x:c r="G68" s="25"/>
      <x:c r="H68" s="25"/>
      <x:c r="I68" s="25"/>
      <x:c r="J68" s="25"/>
      <x:c r="K68" s="25"/>
      <x:c r="L68" s="25"/>
      <x:c r="M68" s="25"/>
      <x:c r="N68" s="25"/>
      <x:c r="O68" s="25"/>
    </x:row>
    <x:row r="69">
      <x:c r="A69" s="25"/>
      <x:c r="B69" s="25"/>
      <x:c r="C69" s="25"/>
      <x:c r="D69" s="25"/>
      <x:c r="E69" s="25"/>
      <x:c r="F69" s="25"/>
      <x:c r="G69" s="25"/>
      <x:c r="H69" s="25"/>
      <x:c r="I69" s="25"/>
      <x:c r="J69" s="25"/>
      <x:c r="K69" s="25"/>
      <x:c r="L69" s="25"/>
      <x:c r="M69" s="25"/>
      <x:c r="N69" s="25"/>
      <x:c r="O69" s="25"/>
    </x:row>
    <x:row r="70">
      <x:c r="A70" s="25"/>
      <x:c r="B70" s="25"/>
      <x:c r="C70" s="25"/>
      <x:c r="D70" s="25"/>
      <x:c r="E70" s="25"/>
      <x:c r="F70" s="25"/>
      <x:c r="G70" s="25"/>
      <x:c r="H70" s="25"/>
      <x:c r="I70" s="25"/>
      <x:c r="J70" s="25"/>
      <x:c r="K70" s="25"/>
      <x:c r="L70" s="25"/>
      <x:c r="M70" s="25"/>
      <x:c r="N70" s="25"/>
      <x:c r="O70" s="25"/>
    </x:row>
    <x:row r="71">
      <x:c r="A71" s="25"/>
      <x:c r="B71" s="25"/>
      <x:c r="C71" s="25"/>
      <x:c r="D71" s="25"/>
      <x:c r="E71" s="25"/>
      <x:c r="F71" s="25"/>
      <x:c r="G71" s="25"/>
      <x:c r="H71" s="25"/>
      <x:c r="I71" s="25"/>
      <x:c r="J71" s="25"/>
      <x:c r="K71" s="25"/>
      <x:c r="L71" s="25"/>
      <x:c r="M71" s="25"/>
      <x:c r="N71" s="25"/>
      <x:c r="O71" s="25"/>
    </x:row>
    <x:row r="72">
      <x:c r="A72" s="25"/>
      <x:c r="B72" s="25"/>
      <x:c r="C72" s="25"/>
      <x:c r="D72" s="25"/>
      <x:c r="E72" s="25"/>
      <x:c r="F72" s="25"/>
      <x:c r="G72" s="25"/>
      <x:c r="H72" s="25"/>
      <x:c r="I72" s="25"/>
      <x:c r="J72" s="25"/>
      <x:c r="K72" s="25"/>
      <x:c r="L72" s="25"/>
      <x:c r="M72" s="25"/>
      <x:c r="N72" s="25"/>
      <x:c r="O72" s="25"/>
    </x:row>
    <x:row r="73">
      <x:c r="A73" s="25"/>
      <x:c r="B73" s="25"/>
      <x:c r="C73" s="25"/>
      <x:c r="D73" s="25"/>
      <x:c r="E73" s="25"/>
      <x:c r="F73" s="25"/>
      <x:c r="G73" s="25"/>
      <x:c r="H73" s="25"/>
      <x:c r="I73" s="25"/>
      <x:c r="J73" s="25"/>
      <x:c r="K73" s="25"/>
      <x:c r="L73" s="25"/>
      <x:c r="M73" s="25"/>
      <x:c r="N73" s="25"/>
      <x:c r="O73" s="25"/>
    </x:row>
    <x:row r="74">
      <x:c r="A74" s="25"/>
      <x:c r="B74" s="25"/>
      <x:c r="C74" s="25"/>
      <x:c r="D74" s="25"/>
      <x:c r="E74" s="25"/>
      <x:c r="F74" s="25"/>
      <x:c r="G74" s="25"/>
      <x:c r="H74" s="25"/>
      <x:c r="I74" s="25"/>
      <x:c r="J74" s="25"/>
      <x:c r="K74" s="25"/>
      <x:c r="L74" s="25"/>
      <x:c r="M74" s="25"/>
      <x:c r="N74" s="25"/>
      <x:c r="O74" s="25"/>
    </x:row>
    <x:row r="75">
      <x:c r="A75" s="25"/>
      <x:c r="B75" s="25"/>
      <x:c r="C75" s="25"/>
      <x:c r="D75" s="25"/>
      <x:c r="E75" s="25"/>
      <x:c r="F75" s="25"/>
      <x:c r="G75" s="25"/>
      <x:c r="H75" s="25"/>
      <x:c r="I75" s="25"/>
      <x:c r="J75" s="25"/>
      <x:c r="K75" s="25"/>
      <x:c r="L75" s="25"/>
      <x:c r="M75" s="25"/>
      <x:c r="N75" s="25"/>
      <x:c r="O75" s="25"/>
    </x:row>
    <x:row r="76">
      <x:c r="A76" s="25"/>
      <x:c r="B76" s="25"/>
      <x:c r="C76" s="25"/>
      <x:c r="D76" s="25"/>
      <x:c r="E76" s="25"/>
      <x:c r="F76" s="25"/>
      <x:c r="G76" s="25"/>
      <x:c r="H76" s="25"/>
      <x:c r="I76" s="25"/>
      <x:c r="J76" s="25"/>
      <x:c r="K76" s="25"/>
      <x:c r="L76" s="25"/>
      <x:c r="M76" s="25"/>
      <x:c r="N76" s="25"/>
      <x:c r="O76" s="25"/>
    </x:row>
    <x:row r="77">
      <x:c r="A77" s="25"/>
      <x:c r="B77" s="25"/>
      <x:c r="C77" s="25"/>
      <x:c r="D77" s="25"/>
      <x:c r="E77" s="25"/>
      <x:c r="F77" s="25"/>
      <x:c r="G77" s="25"/>
      <x:c r="H77" s="25"/>
      <x:c r="I77" s="25"/>
      <x:c r="J77" s="25"/>
      <x:c r="K77" s="25"/>
      <x:c r="L77" s="25"/>
      <x:c r="M77" s="25"/>
      <x:c r="N77" s="25"/>
      <x:c r="O77" s="25"/>
    </x:row>
    <x:row r="78">
      <x:c r="A78" s="25"/>
      <x:c r="B78" s="25"/>
      <x:c r="C78" s="25"/>
      <x:c r="D78" s="25"/>
      <x:c r="E78" s="25"/>
      <x:c r="F78" s="25"/>
      <x:c r="G78" s="25"/>
      <x:c r="H78" s="25"/>
      <x:c r="I78" s="25"/>
      <x:c r="J78" s="25"/>
      <x:c r="K78" s="25"/>
      <x:c r="L78" s="25"/>
      <x:c r="M78" s="25"/>
      <x:c r="N78" s="25"/>
      <x:c r="O78" s="25"/>
    </x:row>
    <x:row r="79">
      <x:c r="A79" s="25"/>
      <x:c r="B79" s="25"/>
      <x:c r="C79" s="25"/>
      <x:c r="D79" s="25"/>
      <x:c r="E79" s="25"/>
      <x:c r="F79" s="25"/>
      <x:c r="G79" s="25"/>
      <x:c r="H79" s="25"/>
      <x:c r="I79" s="25"/>
      <x:c r="J79" s="25"/>
      <x:c r="K79" s="25"/>
      <x:c r="L79" s="25"/>
      <x:c r="M79" s="25"/>
      <x:c r="N79" s="25"/>
      <x:c r="O79" s="25"/>
    </x:row>
    <x:row r="80">
      <x:c r="A80" s="25"/>
      <x:c r="B80" s="25"/>
      <x:c r="C80" s="25"/>
      <x:c r="D80" s="25"/>
      <x:c r="E80" s="25"/>
      <x:c r="F80" s="25"/>
      <x:c r="G80" s="25"/>
      <x:c r="H80" s="25"/>
      <x:c r="I80" s="25"/>
      <x:c r="J80" s="25"/>
      <x:c r="K80" s="25"/>
      <x:c r="L80" s="25"/>
      <x:c r="M80" s="25"/>
      <x:c r="N80" s="25"/>
      <x:c r="O80" s="25"/>
    </x:row>
    <x:row r="81">
      <x:c r="A81" s="25"/>
      <x:c r="B81" s="25"/>
      <x:c r="C81" s="25"/>
      <x:c r="D81" s="25"/>
      <x:c r="E81" s="25"/>
      <x:c r="F81" s="25"/>
      <x:c r="G81" s="25"/>
      <x:c r="H81" s="25"/>
      <x:c r="I81" s="25"/>
      <x:c r="J81" s="25"/>
      <x:c r="K81" s="25"/>
      <x:c r="L81" s="25"/>
      <x:c r="M81" s="25"/>
      <x:c r="N81" s="25"/>
      <x:c r="O81" s="25"/>
    </x:row>
  </x:sheetData>
  <x:mergeCells>
    <x:mergeCell ref="A3:H3"/>
  </x:mergeCells>
  <x:dataValidations count="1">
    <x:dataValidation type="list" sqref="E6:E24">
      <x:formula1>"غير جاهز,قيد التحضير,جاهز"</x:formula1>
    </x:dataValidation>
  </x:dataValidations>
  <x:pageMargins left="0.7" right="0.7" top="0.75" bottom="0.75" header="0.3" footer="0.3"/>
  <x:tableParts count="1">
    <x:tablePart r:id="Re733cd2f97874010"/>
  </x:tableParts>
</x:worksheet>
</file>

<file path=xl/worksheets/sheet5.xml><?xml version="1.0" encoding="utf-8"?>
<x:worksheet xmlns:r="http://schemas.openxmlformats.org/officeDocument/2006/relationships" xmlns:x="http://schemas.openxmlformats.org/spreadsheetml/2006/main">
  <x:sheetViews>
    <x:sheetView showGridLines="0" workbookViewId="0" rightToLeft="1">
      <x:pane xSplit="1" ySplit="5" topLeftCell="B6" activePane="bottomRight" state="frozen"/>
    </x:sheetView>
  </x:sheetViews>
  <x:sheetFormatPr defaultRowHeight="15"/>
  <x:cols>
    <x:col min="1" max="1" width="20" hidden="0" customWidth="1"/>
    <x:col min="2" max="2" width="26" hidden="0" customWidth="1"/>
    <x:col min="3" max="3" width="18" hidden="0" customWidth="1"/>
    <x:col min="4" max="4" width="18" hidden="0" customWidth="1"/>
    <x:col min="5" max="5" width="70" hidden="0" customWidth="1"/>
    <x:col min="6" max="6" width="65" hidden="0" customWidth="1"/>
    <x:col min="7" max="7" width="40" hidden="0" customWidth="1"/>
    <x:col min="8" max="8" width="25" hidden="0" customWidth="1"/>
    <x:col min="9" max="9" width="24" hidden="0" customWidth="1"/>
    <x:col min="10" max="10" width="60" hidden="0" customWidth="1"/>
    <x:col min="11" max="11" width="18" hidden="0" customWidth="1"/>
    <x:col min="12" max="12" width="55" hidden="0" customWidth="1"/>
    <x:col min="13" max="13" width="20" hidden="0" customWidth="1"/>
  </x:cols>
  <x:sheetData>
    <x:row r="1">
      <x:c r="A1" s="25"/>
      <x:c r="B1" s="25"/>
      <x:c r="C1" s="25"/>
      <x:c r="D1" s="25"/>
      <x:c r="E1" s="25"/>
      <x:c r="F1" s="25"/>
      <x:c r="G1" s="25"/>
      <x:c r="H1" s="25"/>
      <x:c r="I1" s="25"/>
      <x:c r="J1" s="25"/>
      <x:c r="K1" s="25"/>
      <x:c r="L1" s="25"/>
      <x:c r="M1" s="25"/>
      <x:c r="N1" s="25"/>
      <x:c r="O1" s="25"/>
    </x:row>
    <x:row r="2" ht="23" customHeight="1">
      <x:c r="A2" s="26" t="str">
        <x:v>الملاحظات والفجوات</x:v>
      </x:c>
      <x:c r="B2" s="25"/>
      <x:c r="C2" s="25"/>
      <x:c r="D2" s="25"/>
      <x:c r="E2" s="25"/>
      <x:c r="F2" s="25"/>
      <x:c r="G2" s="25"/>
      <x:c r="H2" s="25"/>
      <x:c r="I2" s="25"/>
      <x:c r="J2" s="25"/>
      <x:c r="K2" s="25"/>
      <x:c r="L2" s="25"/>
      <x:c r="M2" s="25"/>
      <x:c r="N2" s="25"/>
      <x:c r="O2" s="25"/>
    </x:row>
    <x:row r="3">
      <x:c r="A3" s="25"/>
      <x:c r="B3" s="25"/>
      <x:c r="C3" s="25"/>
      <x:c r="D3" s="25"/>
      <x:c r="E3" s="25"/>
      <x:c r="F3" s="25"/>
      <x:c r="G3" s="25"/>
      <x:c r="H3" s="25"/>
      <x:c r="I3" s="25"/>
      <x:c r="J3" s="25"/>
      <x:c r="K3" s="25"/>
      <x:c r="L3" s="25"/>
      <x:c r="M3" s="25"/>
      <x:c r="N3" s="25"/>
      <x:c r="O3" s="25"/>
    </x:row>
    <x:row r="4">
      <x:c r="A4" s="25"/>
      <x:c r="B4" s="25"/>
      <x:c r="C4" s="25"/>
      <x:c r="D4" s="25"/>
      <x:c r="E4" s="25"/>
      <x:c r="F4" s="25"/>
      <x:c r="G4" s="25"/>
      <x:c r="H4" s="25"/>
      <x:c r="I4" s="25"/>
      <x:c r="J4" s="25"/>
      <x:c r="K4" s="25"/>
      <x:c r="L4" s="25"/>
      <x:c r="M4" s="25"/>
      <x:c r="N4" s="25"/>
      <x:c r="O4" s="25"/>
    </x:row>
    <x:row r="5" ht="48" customHeight="1">
      <x:c r="A5" s="27" t="str">
        <x:v>معرّف الملاحظة</x:v>
      </x:c>
      <x:c r="B5" s="27" t="str">
        <x:v>معرّفات الاختبارات</x:v>
      </x:c>
      <x:c r="C5" s="27" t="str">
        <x:v>النوع</x:v>
      </x:c>
      <x:c r="D5" s="27" t="str">
        <x:v>درجة الخطورة</x:v>
      </x:c>
      <x:c r="E5" s="27" t="str">
        <x:v>الملخص / خطوات إعادة المشكلة</x:v>
      </x:c>
      <x:c r="F5" s="27" t="str">
        <x:v>المتوقع / الفعلي</x:v>
      </x:c>
      <x:c r="G5" s="27" t="str">
        <x:v>الأدلة</x:v>
      </x:c>
      <x:c r="H5" s="27" t="str">
        <x:v>المسؤول</x:v>
      </x:c>
      <x:c r="I5" s="27" t="str">
        <x:v>الحالة</x:v>
      </x:c>
      <x:c r="J5" s="27" t="str">
        <x:v>الحل البديل / القبول</x:v>
      </x:c>
      <x:c r="K5" s="27" t="str">
        <x:v>التاريخ المستهدف</x:v>
      </x:c>
      <x:c r="L5" s="27" t="str">
        <x:v>أدلة إعادة الاختبار / الإصدار</x:v>
      </x:c>
      <x:c r="M5" s="27" t="str">
        <x:v>ملاحظات طفيفة لم تُعالج (1/0)</x:v>
      </x:c>
      <x:c r="N5" s="25"/>
      <x:c r="O5" s="25"/>
    </x:row>
    <x:row r="6" ht="48" customHeight="1">
      <x:c r="A6" s="29" t="str"/>
      <x:c r="B6" s="29" t="str"/>
      <x:c r="C6" s="29" t="str"/>
      <x:c r="D6" s="29" t="str"/>
      <x:c r="E6" s="29" t="str"/>
      <x:c r="F6" s="29" t="str"/>
      <x:c r="G6" s="29" t="str"/>
      <x:c r="H6" s="29" t="str"/>
      <x:c r="I6" s="29" t="str"/>
      <x:c r="J6" s="29" t="str"/>
      <x:c r="K6" s="30" t="str"/>
      <x:c r="L6" s="29" t="str"/>
      <x:c r="M6" s="28" t="n">
        <x:f>IF(D6&lt;&gt;"طفيف",0,IF(I6="مغلق",0,IF(AND(I6="ملاحظة طفيفة مقبولة",H6&lt;&gt;"",J6&lt;&gt;"",ISNUMBER(K6)),0,1)))</x:f>
        <x:v>0</x:v>
      </x:c>
      <x:c r="N6" s="25"/>
      <x:c r="O6" s="25"/>
    </x:row>
    <x:row r="7" ht="48" customHeight="1">
      <x:c r="A7" s="29" t="str"/>
      <x:c r="B7" s="29" t="str"/>
      <x:c r="C7" s="29" t="str"/>
      <x:c r="D7" s="29" t="str"/>
      <x:c r="E7" s="29" t="str"/>
      <x:c r="F7" s="29" t="str"/>
      <x:c r="G7" s="29" t="str"/>
      <x:c r="H7" s="29" t="str"/>
      <x:c r="I7" s="29" t="str"/>
      <x:c r="J7" s="29" t="str"/>
      <x:c r="K7" s="30" t="str"/>
      <x:c r="L7" s="29" t="str"/>
      <x:c r="M7" s="28" t="n">
        <x:f>IF(D7&lt;&gt;"طفيف",0,IF(I7="مغلق",0,IF(AND(I7="ملاحظة طفيفة مقبولة",H7&lt;&gt;"",J7&lt;&gt;"",ISNUMBER(K7)),0,1)))</x:f>
        <x:v>0</x:v>
      </x:c>
      <x:c r="N7" s="25"/>
      <x:c r="O7" s="25"/>
    </x:row>
    <x:row r="8" ht="48" customHeight="1">
      <x:c r="A8" s="29" t="str"/>
      <x:c r="B8" s="29" t="str"/>
      <x:c r="C8" s="29" t="str"/>
      <x:c r="D8" s="29" t="str"/>
      <x:c r="E8" s="29" t="str"/>
      <x:c r="F8" s="29" t="str"/>
      <x:c r="G8" s="29" t="str"/>
      <x:c r="H8" s="29" t="str"/>
      <x:c r="I8" s="29" t="str"/>
      <x:c r="J8" s="29" t="str"/>
      <x:c r="K8" s="30" t="str"/>
      <x:c r="L8" s="29" t="str"/>
      <x:c r="M8" s="28" t="n">
        <x:f>IF(D8&lt;&gt;"طفيف",0,IF(I8="مغلق",0,IF(AND(I8="ملاحظة طفيفة مقبولة",H8&lt;&gt;"",J8&lt;&gt;"",ISNUMBER(K8)),0,1)))</x:f>
        <x:v>0</x:v>
      </x:c>
      <x:c r="N8" s="25"/>
      <x:c r="O8" s="25"/>
    </x:row>
    <x:row r="9" ht="48" customHeight="1">
      <x:c r="A9" s="29" t="str"/>
      <x:c r="B9" s="29" t="str"/>
      <x:c r="C9" s="29" t="str"/>
      <x:c r="D9" s="29" t="str"/>
      <x:c r="E9" s="29" t="str"/>
      <x:c r="F9" s="29" t="str"/>
      <x:c r="G9" s="29" t="str"/>
      <x:c r="H9" s="29" t="str"/>
      <x:c r="I9" s="29" t="str"/>
      <x:c r="J9" s="29" t="str"/>
      <x:c r="K9" s="30" t="str"/>
      <x:c r="L9" s="29" t="str"/>
      <x:c r="M9" s="28" t="n">
        <x:f>IF(D9&lt;&gt;"طفيف",0,IF(I9="مغلق",0,IF(AND(I9="ملاحظة طفيفة مقبولة",H9&lt;&gt;"",J9&lt;&gt;"",ISNUMBER(K9)),0,1)))</x:f>
        <x:v>0</x:v>
      </x:c>
      <x:c r="N9" s="25"/>
      <x:c r="O9" s="25"/>
    </x:row>
    <x:row r="10" ht="48" customHeight="1">
      <x:c r="A10" s="29" t="str"/>
      <x:c r="B10" s="29" t="str"/>
      <x:c r="C10" s="29" t="str"/>
      <x:c r="D10" s="29" t="str"/>
      <x:c r="E10" s="29" t="str"/>
      <x:c r="F10" s="29" t="str"/>
      <x:c r="G10" s="29" t="str"/>
      <x:c r="H10" s="29" t="str"/>
      <x:c r="I10" s="29" t="str"/>
      <x:c r="J10" s="29" t="str"/>
      <x:c r="K10" s="30" t="str"/>
      <x:c r="L10" s="29" t="str"/>
      <x:c r="M10" s="28" t="n">
        <x:f>IF(D10&lt;&gt;"طفيف",0,IF(I10="مغلق",0,IF(AND(I10="ملاحظة طفيفة مقبولة",H10&lt;&gt;"",J10&lt;&gt;"",ISNUMBER(K10)),0,1)))</x:f>
        <x:v>0</x:v>
      </x:c>
      <x:c r="N10" s="25"/>
      <x:c r="O10" s="25"/>
    </x:row>
    <x:row r="11" ht="48" customHeight="1">
      <x:c r="A11" s="29" t="str"/>
      <x:c r="B11" s="29" t="str"/>
      <x:c r="C11" s="29" t="str"/>
      <x:c r="D11" s="29" t="str"/>
      <x:c r="E11" s="29" t="str"/>
      <x:c r="F11" s="29" t="str"/>
      <x:c r="G11" s="29" t="str"/>
      <x:c r="H11" s="29" t="str"/>
      <x:c r="I11" s="29" t="str"/>
      <x:c r="J11" s="29" t="str"/>
      <x:c r="K11" s="30" t="str"/>
      <x:c r="L11" s="29" t="str"/>
      <x:c r="M11" s="28" t="n">
        <x:f>IF(D11&lt;&gt;"طفيف",0,IF(I11="مغلق",0,IF(AND(I11="ملاحظة طفيفة مقبولة",H11&lt;&gt;"",J11&lt;&gt;"",ISNUMBER(K11)),0,1)))</x:f>
        <x:v>0</x:v>
      </x:c>
      <x:c r="N11" s="25"/>
      <x:c r="O11" s="25"/>
    </x:row>
    <x:row r="12" ht="48" customHeight="1">
      <x:c r="A12" s="29" t="str"/>
      <x:c r="B12" s="29" t="str"/>
      <x:c r="C12" s="29" t="str"/>
      <x:c r="D12" s="29" t="str"/>
      <x:c r="E12" s="29" t="str"/>
      <x:c r="F12" s="29" t="str"/>
      <x:c r="G12" s="29" t="str"/>
      <x:c r="H12" s="29" t="str"/>
      <x:c r="I12" s="29" t="str"/>
      <x:c r="J12" s="29" t="str"/>
      <x:c r="K12" s="30" t="str"/>
      <x:c r="L12" s="29" t="str"/>
      <x:c r="M12" s="28" t="n">
        <x:f>IF(D12&lt;&gt;"طفيف",0,IF(I12="مغلق",0,IF(AND(I12="ملاحظة طفيفة مقبولة",H12&lt;&gt;"",J12&lt;&gt;"",ISNUMBER(K12)),0,1)))</x:f>
        <x:v>0</x:v>
      </x:c>
      <x:c r="N12" s="25"/>
      <x:c r="O12" s="25"/>
    </x:row>
    <x:row r="13" ht="48" customHeight="1">
      <x:c r="A13" s="29" t="str"/>
      <x:c r="B13" s="29" t="str"/>
      <x:c r="C13" s="29" t="str"/>
      <x:c r="D13" s="29" t="str"/>
      <x:c r="E13" s="29" t="str"/>
      <x:c r="F13" s="29" t="str"/>
      <x:c r="G13" s="29" t="str"/>
      <x:c r="H13" s="29" t="str"/>
      <x:c r="I13" s="29" t="str"/>
      <x:c r="J13" s="29" t="str"/>
      <x:c r="K13" s="30" t="str"/>
      <x:c r="L13" s="29" t="str"/>
      <x:c r="M13" s="28" t="n">
        <x:f>IF(D13&lt;&gt;"طفيف",0,IF(I13="مغلق",0,IF(AND(I13="ملاحظة طفيفة مقبولة",H13&lt;&gt;"",J13&lt;&gt;"",ISNUMBER(K13)),0,1)))</x:f>
        <x:v>0</x:v>
      </x:c>
      <x:c r="N13" s="25"/>
      <x:c r="O13" s="25"/>
    </x:row>
    <x:row r="14" ht="48" customHeight="1">
      <x:c r="A14" s="29" t="str"/>
      <x:c r="B14" s="29" t="str"/>
      <x:c r="C14" s="29" t="str"/>
      <x:c r="D14" s="29" t="str"/>
      <x:c r="E14" s="29" t="str"/>
      <x:c r="F14" s="29" t="str"/>
      <x:c r="G14" s="29" t="str"/>
      <x:c r="H14" s="29" t="str"/>
      <x:c r="I14" s="29" t="str"/>
      <x:c r="J14" s="29" t="str"/>
      <x:c r="K14" s="30" t="str"/>
      <x:c r="L14" s="29" t="str"/>
      <x:c r="M14" s="28" t="n">
        <x:f>IF(D14&lt;&gt;"طفيف",0,IF(I14="مغلق",0,IF(AND(I14="ملاحظة طفيفة مقبولة",H14&lt;&gt;"",J14&lt;&gt;"",ISNUMBER(K14)),0,1)))</x:f>
        <x:v>0</x:v>
      </x:c>
      <x:c r="N14" s="25"/>
      <x:c r="O14" s="25"/>
    </x:row>
    <x:row r="15" ht="48" customHeight="1">
      <x:c r="A15" s="29" t="str"/>
      <x:c r="B15" s="29" t="str"/>
      <x:c r="C15" s="29" t="str"/>
      <x:c r="D15" s="29" t="str"/>
      <x:c r="E15" s="29" t="str"/>
      <x:c r="F15" s="29" t="str"/>
      <x:c r="G15" s="29" t="str"/>
      <x:c r="H15" s="29" t="str"/>
      <x:c r="I15" s="29" t="str"/>
      <x:c r="J15" s="29" t="str"/>
      <x:c r="K15" s="30" t="str"/>
      <x:c r="L15" s="29" t="str"/>
      <x:c r="M15" s="28" t="n">
        <x:f>IF(D15&lt;&gt;"طفيف",0,IF(I15="مغلق",0,IF(AND(I15="ملاحظة طفيفة مقبولة",H15&lt;&gt;"",J15&lt;&gt;"",ISNUMBER(K15)),0,1)))</x:f>
        <x:v>0</x:v>
      </x:c>
      <x:c r="N15" s="25"/>
      <x:c r="O15" s="25"/>
    </x:row>
    <x:row r="16" ht="48" customHeight="1">
      <x:c r="A16" s="29" t="str"/>
      <x:c r="B16" s="29" t="str"/>
      <x:c r="C16" s="29" t="str"/>
      <x:c r="D16" s="29" t="str"/>
      <x:c r="E16" s="29" t="str"/>
      <x:c r="F16" s="29" t="str"/>
      <x:c r="G16" s="29" t="str"/>
      <x:c r="H16" s="29" t="str"/>
      <x:c r="I16" s="29" t="str"/>
      <x:c r="J16" s="29" t="str"/>
      <x:c r="K16" s="30" t="str"/>
      <x:c r="L16" s="29" t="str"/>
      <x:c r="M16" s="28" t="n">
        <x:f>IF(D16&lt;&gt;"طفيف",0,IF(I16="مغلق",0,IF(AND(I16="ملاحظة طفيفة مقبولة",H16&lt;&gt;"",J16&lt;&gt;"",ISNUMBER(K16)),0,1)))</x:f>
        <x:v>0</x:v>
      </x:c>
      <x:c r="N16" s="25"/>
      <x:c r="O16" s="25"/>
    </x:row>
    <x:row r="17" ht="48" customHeight="1">
      <x:c r="A17" s="29" t="str"/>
      <x:c r="B17" s="29" t="str"/>
      <x:c r="C17" s="29" t="str"/>
      <x:c r="D17" s="29" t="str"/>
      <x:c r="E17" s="29" t="str"/>
      <x:c r="F17" s="29" t="str"/>
      <x:c r="G17" s="29" t="str"/>
      <x:c r="H17" s="29" t="str"/>
      <x:c r="I17" s="29" t="str"/>
      <x:c r="J17" s="29" t="str"/>
      <x:c r="K17" s="30" t="str"/>
      <x:c r="L17" s="29" t="str"/>
      <x:c r="M17" s="28" t="n">
        <x:f>IF(D17&lt;&gt;"طفيف",0,IF(I17="مغلق",0,IF(AND(I17="ملاحظة طفيفة مقبولة",H17&lt;&gt;"",J17&lt;&gt;"",ISNUMBER(K17)),0,1)))</x:f>
        <x:v>0</x:v>
      </x:c>
      <x:c r="N17" s="25"/>
      <x:c r="O17" s="25"/>
    </x:row>
    <x:row r="18" ht="48" customHeight="1">
      <x:c r="A18" s="29" t="str"/>
      <x:c r="B18" s="29" t="str"/>
      <x:c r="C18" s="29" t="str"/>
      <x:c r="D18" s="29" t="str"/>
      <x:c r="E18" s="29" t="str"/>
      <x:c r="F18" s="29" t="str"/>
      <x:c r="G18" s="29" t="str"/>
      <x:c r="H18" s="29" t="str"/>
      <x:c r="I18" s="29" t="str"/>
      <x:c r="J18" s="29" t="str"/>
      <x:c r="K18" s="30" t="str"/>
      <x:c r="L18" s="29" t="str"/>
      <x:c r="M18" s="28" t="n">
        <x:f>IF(D18&lt;&gt;"طفيف",0,IF(I18="مغلق",0,IF(AND(I18="ملاحظة طفيفة مقبولة",H18&lt;&gt;"",J18&lt;&gt;"",ISNUMBER(K18)),0,1)))</x:f>
        <x:v>0</x:v>
      </x:c>
      <x:c r="N18" s="25"/>
      <x:c r="O18" s="25"/>
    </x:row>
    <x:row r="19" ht="48" customHeight="1">
      <x:c r="A19" s="29" t="str"/>
      <x:c r="B19" s="29" t="str"/>
      <x:c r="C19" s="29" t="str"/>
      <x:c r="D19" s="29" t="str"/>
      <x:c r="E19" s="29" t="str"/>
      <x:c r="F19" s="29" t="str"/>
      <x:c r="G19" s="29" t="str"/>
      <x:c r="H19" s="29" t="str"/>
      <x:c r="I19" s="29" t="str"/>
      <x:c r="J19" s="29" t="str"/>
      <x:c r="K19" s="30" t="str"/>
      <x:c r="L19" s="29" t="str"/>
      <x:c r="M19" s="28" t="n">
        <x:f>IF(D19&lt;&gt;"طفيف",0,IF(I19="مغلق",0,IF(AND(I19="ملاحظة طفيفة مقبولة",H19&lt;&gt;"",J19&lt;&gt;"",ISNUMBER(K19)),0,1)))</x:f>
        <x:v>0</x:v>
      </x:c>
      <x:c r="N19" s="25"/>
      <x:c r="O19" s="25"/>
    </x:row>
    <x:row r="20" ht="48" customHeight="1">
      <x:c r="A20" s="29" t="str"/>
      <x:c r="B20" s="29" t="str"/>
      <x:c r="C20" s="29" t="str"/>
      <x:c r="D20" s="29" t="str"/>
      <x:c r="E20" s="29" t="str"/>
      <x:c r="F20" s="29" t="str"/>
      <x:c r="G20" s="29" t="str"/>
      <x:c r="H20" s="29" t="str"/>
      <x:c r="I20" s="29" t="str"/>
      <x:c r="J20" s="29" t="str"/>
      <x:c r="K20" s="30" t="str"/>
      <x:c r="L20" s="29" t="str"/>
      <x:c r="M20" s="28" t="n">
        <x:f>IF(D20&lt;&gt;"طفيف",0,IF(I20="مغلق",0,IF(AND(I20="ملاحظة طفيفة مقبولة",H20&lt;&gt;"",J20&lt;&gt;"",ISNUMBER(K20)),0,1)))</x:f>
        <x:v>0</x:v>
      </x:c>
      <x:c r="N20" s="25"/>
      <x:c r="O20" s="25"/>
    </x:row>
    <x:row r="21" ht="48" customHeight="1">
      <x:c r="A21" s="29" t="str"/>
      <x:c r="B21" s="29" t="str"/>
      <x:c r="C21" s="29" t="str"/>
      <x:c r="D21" s="29" t="str"/>
      <x:c r="E21" s="29" t="str"/>
      <x:c r="F21" s="29" t="str"/>
      <x:c r="G21" s="29" t="str"/>
      <x:c r="H21" s="29" t="str"/>
      <x:c r="I21" s="29" t="str"/>
      <x:c r="J21" s="29" t="str"/>
      <x:c r="K21" s="30" t="str"/>
      <x:c r="L21" s="29" t="str"/>
      <x:c r="M21" s="28" t="n">
        <x:f>IF(D21&lt;&gt;"طفيف",0,IF(I21="مغلق",0,IF(AND(I21="ملاحظة طفيفة مقبولة",H21&lt;&gt;"",J21&lt;&gt;"",ISNUMBER(K21)),0,1)))</x:f>
        <x:v>0</x:v>
      </x:c>
      <x:c r="N21" s="25"/>
      <x:c r="O21" s="25"/>
    </x:row>
    <x:row r="22" ht="48" customHeight="1">
      <x:c r="A22" s="29" t="str"/>
      <x:c r="B22" s="29" t="str"/>
      <x:c r="C22" s="29" t="str"/>
      <x:c r="D22" s="29" t="str"/>
      <x:c r="E22" s="29" t="str"/>
      <x:c r="F22" s="29" t="str"/>
      <x:c r="G22" s="29" t="str"/>
      <x:c r="H22" s="29" t="str"/>
      <x:c r="I22" s="29" t="str"/>
      <x:c r="J22" s="29" t="str"/>
      <x:c r="K22" s="30" t="str"/>
      <x:c r="L22" s="29" t="str"/>
      <x:c r="M22" s="28" t="n">
        <x:f>IF(D22&lt;&gt;"طفيف",0,IF(I22="مغلق",0,IF(AND(I22="ملاحظة طفيفة مقبولة",H22&lt;&gt;"",J22&lt;&gt;"",ISNUMBER(K22)),0,1)))</x:f>
        <x:v>0</x:v>
      </x:c>
      <x:c r="N22" s="25"/>
      <x:c r="O22" s="25"/>
    </x:row>
    <x:row r="23" ht="48" customHeight="1">
      <x:c r="A23" s="29" t="str"/>
      <x:c r="B23" s="29" t="str"/>
      <x:c r="C23" s="29" t="str"/>
      <x:c r="D23" s="29" t="str"/>
      <x:c r="E23" s="29" t="str"/>
      <x:c r="F23" s="29" t="str"/>
      <x:c r="G23" s="29" t="str"/>
      <x:c r="H23" s="29" t="str"/>
      <x:c r="I23" s="29" t="str"/>
      <x:c r="J23" s="29" t="str"/>
      <x:c r="K23" s="30" t="str"/>
      <x:c r="L23" s="29" t="str"/>
      <x:c r="M23" s="28" t="n">
        <x:f>IF(D23&lt;&gt;"طفيف",0,IF(I23="مغلق",0,IF(AND(I23="ملاحظة طفيفة مقبولة",H23&lt;&gt;"",J23&lt;&gt;"",ISNUMBER(K23)),0,1)))</x:f>
        <x:v>0</x:v>
      </x:c>
      <x:c r="N23" s="25"/>
      <x:c r="O23" s="25"/>
    </x:row>
    <x:row r="24" ht="48" customHeight="1">
      <x:c r="A24" s="29" t="str"/>
      <x:c r="B24" s="29" t="str"/>
      <x:c r="C24" s="29" t="str"/>
      <x:c r="D24" s="29" t="str"/>
      <x:c r="E24" s="29" t="str"/>
      <x:c r="F24" s="29" t="str"/>
      <x:c r="G24" s="29" t="str"/>
      <x:c r="H24" s="29" t="str"/>
      <x:c r="I24" s="29" t="str"/>
      <x:c r="J24" s="29" t="str"/>
      <x:c r="K24" s="30" t="str"/>
      <x:c r="L24" s="29" t="str"/>
      <x:c r="M24" s="28" t="n">
        <x:f>IF(D24&lt;&gt;"طفيف",0,IF(I24="مغلق",0,IF(AND(I24="ملاحظة طفيفة مقبولة",H24&lt;&gt;"",J24&lt;&gt;"",ISNUMBER(K24)),0,1)))</x:f>
        <x:v>0</x:v>
      </x:c>
      <x:c r="N24" s="25"/>
      <x:c r="O24" s="25"/>
    </x:row>
    <x:row r="25" ht="48" customHeight="1">
      <x:c r="A25" s="29" t="str"/>
      <x:c r="B25" s="29" t="str"/>
      <x:c r="C25" s="29" t="str"/>
      <x:c r="D25" s="29" t="str"/>
      <x:c r="E25" s="29" t="str"/>
      <x:c r="F25" s="29" t="str"/>
      <x:c r="G25" s="29" t="str"/>
      <x:c r="H25" s="29" t="str"/>
      <x:c r="I25" s="29" t="str"/>
      <x:c r="J25" s="29" t="str"/>
      <x:c r="K25" s="30" t="str"/>
      <x:c r="L25" s="29" t="str"/>
      <x:c r="M25" s="28" t="n">
        <x:f>IF(D25&lt;&gt;"طفيف",0,IF(I25="مغلق",0,IF(AND(I25="ملاحظة طفيفة مقبولة",H25&lt;&gt;"",J25&lt;&gt;"",ISNUMBER(K25)),0,1)))</x:f>
        <x:v>0</x:v>
      </x:c>
      <x:c r="N25" s="25"/>
      <x:c r="O25" s="25"/>
    </x:row>
    <x:row r="26" ht="48" customHeight="1">
      <x:c r="A26" s="29" t="str"/>
      <x:c r="B26" s="29" t="str"/>
      <x:c r="C26" s="29" t="str"/>
      <x:c r="D26" s="29" t="str"/>
      <x:c r="E26" s="29" t="str"/>
      <x:c r="F26" s="29" t="str"/>
      <x:c r="G26" s="29" t="str"/>
      <x:c r="H26" s="29" t="str"/>
      <x:c r="I26" s="29" t="str"/>
      <x:c r="J26" s="29" t="str"/>
      <x:c r="K26" s="30" t="str"/>
      <x:c r="L26" s="29" t="str"/>
      <x:c r="M26" s="28" t="n">
        <x:f>IF(D26&lt;&gt;"طفيف",0,IF(I26="مغلق",0,IF(AND(I26="ملاحظة طفيفة مقبولة",H26&lt;&gt;"",J26&lt;&gt;"",ISNUMBER(K26)),0,1)))</x:f>
        <x:v>0</x:v>
      </x:c>
      <x:c r="N26" s="25"/>
      <x:c r="O26" s="25"/>
    </x:row>
    <x:row r="27" ht="48" customHeight="1">
      <x:c r="A27" s="29" t="str"/>
      <x:c r="B27" s="29" t="str"/>
      <x:c r="C27" s="29" t="str"/>
      <x:c r="D27" s="29" t="str"/>
      <x:c r="E27" s="29" t="str"/>
      <x:c r="F27" s="29" t="str"/>
      <x:c r="G27" s="29" t="str"/>
      <x:c r="H27" s="29" t="str"/>
      <x:c r="I27" s="29" t="str"/>
      <x:c r="J27" s="29" t="str"/>
      <x:c r="K27" s="30" t="str"/>
      <x:c r="L27" s="29" t="str"/>
      <x:c r="M27" s="28" t="n">
        <x:f>IF(D27&lt;&gt;"طفيف",0,IF(I27="مغلق",0,IF(AND(I27="ملاحظة طفيفة مقبولة",H27&lt;&gt;"",J27&lt;&gt;"",ISNUMBER(K27)),0,1)))</x:f>
        <x:v>0</x:v>
      </x:c>
      <x:c r="N27" s="25"/>
      <x:c r="O27" s="25"/>
    </x:row>
    <x:row r="28" ht="48" customHeight="1">
      <x:c r="A28" s="29" t="str"/>
      <x:c r="B28" s="29" t="str"/>
      <x:c r="C28" s="29" t="str"/>
      <x:c r="D28" s="29" t="str"/>
      <x:c r="E28" s="29" t="str"/>
      <x:c r="F28" s="29" t="str"/>
      <x:c r="G28" s="29" t="str"/>
      <x:c r="H28" s="29" t="str"/>
      <x:c r="I28" s="29" t="str"/>
      <x:c r="J28" s="29" t="str"/>
      <x:c r="K28" s="30" t="str"/>
      <x:c r="L28" s="29" t="str"/>
      <x:c r="M28" s="28" t="n">
        <x:f>IF(D28&lt;&gt;"طفيف",0,IF(I28="مغلق",0,IF(AND(I28="ملاحظة طفيفة مقبولة",H28&lt;&gt;"",J28&lt;&gt;"",ISNUMBER(K28)),0,1)))</x:f>
        <x:v>0</x:v>
      </x:c>
      <x:c r="N28" s="25"/>
      <x:c r="O28" s="25"/>
    </x:row>
    <x:row r="29" ht="48" customHeight="1">
      <x:c r="A29" s="29" t="str"/>
      <x:c r="B29" s="29" t="str"/>
      <x:c r="C29" s="29" t="str"/>
      <x:c r="D29" s="29" t="str"/>
      <x:c r="E29" s="29" t="str"/>
      <x:c r="F29" s="29" t="str"/>
      <x:c r="G29" s="29" t="str"/>
      <x:c r="H29" s="29" t="str"/>
      <x:c r="I29" s="29" t="str"/>
      <x:c r="J29" s="29" t="str"/>
      <x:c r="K29" s="30" t="str"/>
      <x:c r="L29" s="29" t="str"/>
      <x:c r="M29" s="28" t="n">
        <x:f>IF(D29&lt;&gt;"طفيف",0,IF(I29="مغلق",0,IF(AND(I29="ملاحظة طفيفة مقبولة",H29&lt;&gt;"",J29&lt;&gt;"",ISNUMBER(K29)),0,1)))</x:f>
        <x:v>0</x:v>
      </x:c>
      <x:c r="N29" s="25"/>
      <x:c r="O29" s="25"/>
    </x:row>
    <x:row r="30" ht="48" customHeight="1">
      <x:c r="A30" s="29" t="str"/>
      <x:c r="B30" s="29" t="str"/>
      <x:c r="C30" s="29" t="str"/>
      <x:c r="D30" s="29" t="str"/>
      <x:c r="E30" s="29" t="str"/>
      <x:c r="F30" s="29" t="str"/>
      <x:c r="G30" s="29" t="str"/>
      <x:c r="H30" s="29" t="str"/>
      <x:c r="I30" s="29" t="str"/>
      <x:c r="J30" s="29" t="str"/>
      <x:c r="K30" s="30" t="str"/>
      <x:c r="L30" s="29" t="str"/>
      <x:c r="M30" s="28" t="n">
        <x:f>IF(D30&lt;&gt;"طفيف",0,IF(I30="مغلق",0,IF(AND(I30="ملاحظة طفيفة مقبولة",H30&lt;&gt;"",J30&lt;&gt;"",ISNUMBER(K30)),0,1)))</x:f>
        <x:v>0</x:v>
      </x:c>
      <x:c r="N30" s="25"/>
      <x:c r="O30" s="25"/>
    </x:row>
    <x:row r="31" ht="48" customHeight="1">
      <x:c r="A31" s="29" t="str"/>
      <x:c r="B31" s="29" t="str"/>
      <x:c r="C31" s="29" t="str"/>
      <x:c r="D31" s="29" t="str"/>
      <x:c r="E31" s="29" t="str"/>
      <x:c r="F31" s="29" t="str"/>
      <x:c r="G31" s="29" t="str"/>
      <x:c r="H31" s="29" t="str"/>
      <x:c r="I31" s="29" t="str"/>
      <x:c r="J31" s="29" t="str"/>
      <x:c r="K31" s="30" t="str"/>
      <x:c r="L31" s="29" t="str"/>
      <x:c r="M31" s="28" t="n">
        <x:f>IF(D31&lt;&gt;"طفيف",0,IF(I31="مغلق",0,IF(AND(I31="ملاحظة طفيفة مقبولة",H31&lt;&gt;"",J31&lt;&gt;"",ISNUMBER(K31)),0,1)))</x:f>
        <x:v>0</x:v>
      </x:c>
      <x:c r="N31" s="25"/>
      <x:c r="O31" s="25"/>
    </x:row>
    <x:row r="32" ht="48" customHeight="1">
      <x:c r="A32" s="29" t="str"/>
      <x:c r="B32" s="29" t="str"/>
      <x:c r="C32" s="29" t="str"/>
      <x:c r="D32" s="29" t="str"/>
      <x:c r="E32" s="29" t="str"/>
      <x:c r="F32" s="29" t="str"/>
      <x:c r="G32" s="29" t="str"/>
      <x:c r="H32" s="29" t="str"/>
      <x:c r="I32" s="29" t="str"/>
      <x:c r="J32" s="29" t="str"/>
      <x:c r="K32" s="30" t="str"/>
      <x:c r="L32" s="29" t="str"/>
      <x:c r="M32" s="28" t="n">
        <x:f>IF(D32&lt;&gt;"طفيف",0,IF(I32="مغلق",0,IF(AND(I32="ملاحظة طفيفة مقبولة",H32&lt;&gt;"",J32&lt;&gt;"",ISNUMBER(K32)),0,1)))</x:f>
        <x:v>0</x:v>
      </x:c>
      <x:c r="N32" s="25"/>
      <x:c r="O32" s="25"/>
    </x:row>
    <x:row r="33" ht="48" customHeight="1">
      <x:c r="A33" s="29" t="str"/>
      <x:c r="B33" s="29" t="str"/>
      <x:c r="C33" s="29" t="str"/>
      <x:c r="D33" s="29" t="str"/>
      <x:c r="E33" s="29" t="str"/>
      <x:c r="F33" s="29" t="str"/>
      <x:c r="G33" s="29" t="str"/>
      <x:c r="H33" s="29" t="str"/>
      <x:c r="I33" s="29" t="str"/>
      <x:c r="J33" s="29" t="str"/>
      <x:c r="K33" s="30" t="str"/>
      <x:c r="L33" s="29" t="str"/>
      <x:c r="M33" s="28" t="n">
        <x:f>IF(D33&lt;&gt;"طفيف",0,IF(I33="مغلق",0,IF(AND(I33="ملاحظة طفيفة مقبولة",H33&lt;&gt;"",J33&lt;&gt;"",ISNUMBER(K33)),0,1)))</x:f>
        <x:v>0</x:v>
      </x:c>
      <x:c r="N33" s="25"/>
      <x:c r="O33" s="25"/>
    </x:row>
    <x:row r="34" ht="48" customHeight="1">
      <x:c r="A34" s="29" t="str"/>
      <x:c r="B34" s="29" t="str"/>
      <x:c r="C34" s="29" t="str"/>
      <x:c r="D34" s="29" t="str"/>
      <x:c r="E34" s="29" t="str"/>
      <x:c r="F34" s="29" t="str"/>
      <x:c r="G34" s="29" t="str"/>
      <x:c r="H34" s="29" t="str"/>
      <x:c r="I34" s="29" t="str"/>
      <x:c r="J34" s="29" t="str"/>
      <x:c r="K34" s="30" t="str"/>
      <x:c r="L34" s="29" t="str"/>
      <x:c r="M34" s="28" t="n">
        <x:f>IF(D34&lt;&gt;"طفيف",0,IF(I34="مغلق",0,IF(AND(I34="ملاحظة طفيفة مقبولة",H34&lt;&gt;"",J34&lt;&gt;"",ISNUMBER(K34)),0,1)))</x:f>
        <x:v>0</x:v>
      </x:c>
      <x:c r="N34" s="25"/>
      <x:c r="O34" s="25"/>
    </x:row>
    <x:row r="35" ht="48" customHeight="1">
      <x:c r="A35" s="29" t="str"/>
      <x:c r="B35" s="29" t="str"/>
      <x:c r="C35" s="29" t="str"/>
      <x:c r="D35" s="29" t="str"/>
      <x:c r="E35" s="29" t="str"/>
      <x:c r="F35" s="29" t="str"/>
      <x:c r="G35" s="29" t="str"/>
      <x:c r="H35" s="29" t="str"/>
      <x:c r="I35" s="29" t="str"/>
      <x:c r="J35" s="29" t="str"/>
      <x:c r="K35" s="30" t="str"/>
      <x:c r="L35" s="29" t="str"/>
      <x:c r="M35" s="28" t="n">
        <x:f>IF(D35&lt;&gt;"طفيف",0,IF(I35="مغلق",0,IF(AND(I35="ملاحظة طفيفة مقبولة",H35&lt;&gt;"",J35&lt;&gt;"",ISNUMBER(K35)),0,1)))</x:f>
        <x:v>0</x:v>
      </x:c>
      <x:c r="N35" s="25"/>
      <x:c r="O35" s="25"/>
    </x:row>
    <x:row r="36" ht="48" customHeight="1">
      <x:c r="A36" s="29" t="str"/>
      <x:c r="B36" s="29" t="str"/>
      <x:c r="C36" s="29" t="str"/>
      <x:c r="D36" s="29" t="str"/>
      <x:c r="E36" s="29" t="str"/>
      <x:c r="F36" s="29" t="str"/>
      <x:c r="G36" s="29" t="str"/>
      <x:c r="H36" s="29" t="str"/>
      <x:c r="I36" s="29" t="str"/>
      <x:c r="J36" s="29" t="str"/>
      <x:c r="K36" s="30" t="str"/>
      <x:c r="L36" s="29" t="str"/>
      <x:c r="M36" s="28" t="n">
        <x:f>IF(D36&lt;&gt;"طفيف",0,IF(I36="مغلق",0,IF(AND(I36="ملاحظة طفيفة مقبولة",H36&lt;&gt;"",J36&lt;&gt;"",ISNUMBER(K36)),0,1)))</x:f>
        <x:v>0</x:v>
      </x:c>
      <x:c r="N36" s="25"/>
      <x:c r="O36" s="25"/>
    </x:row>
    <x:row r="37" ht="48" customHeight="1">
      <x:c r="A37" s="29" t="str"/>
      <x:c r="B37" s="29" t="str"/>
      <x:c r="C37" s="29" t="str"/>
      <x:c r="D37" s="29" t="str"/>
      <x:c r="E37" s="29" t="str"/>
      <x:c r="F37" s="29" t="str"/>
      <x:c r="G37" s="29" t="str"/>
      <x:c r="H37" s="29" t="str"/>
      <x:c r="I37" s="29" t="str"/>
      <x:c r="J37" s="29" t="str"/>
      <x:c r="K37" s="30" t="str"/>
      <x:c r="L37" s="29" t="str"/>
      <x:c r="M37" s="28" t="n">
        <x:f>IF(D37&lt;&gt;"طفيف",0,IF(I37="مغلق",0,IF(AND(I37="ملاحظة طفيفة مقبولة",H37&lt;&gt;"",J37&lt;&gt;"",ISNUMBER(K37)),0,1)))</x:f>
        <x:v>0</x:v>
      </x:c>
      <x:c r="N37" s="25"/>
      <x:c r="O37" s="25"/>
    </x:row>
    <x:row r="38" ht="48" customHeight="1">
      <x:c r="A38" s="29" t="str"/>
      <x:c r="B38" s="29" t="str"/>
      <x:c r="C38" s="29" t="str"/>
      <x:c r="D38" s="29" t="str"/>
      <x:c r="E38" s="29" t="str"/>
      <x:c r="F38" s="29" t="str"/>
      <x:c r="G38" s="29" t="str"/>
      <x:c r="H38" s="29" t="str"/>
      <x:c r="I38" s="29" t="str"/>
      <x:c r="J38" s="29" t="str"/>
      <x:c r="K38" s="30" t="str"/>
      <x:c r="L38" s="29" t="str"/>
      <x:c r="M38" s="28" t="n">
        <x:f>IF(D38&lt;&gt;"طفيف",0,IF(I38="مغلق",0,IF(AND(I38="ملاحظة طفيفة مقبولة",H38&lt;&gt;"",J38&lt;&gt;"",ISNUMBER(K38)),0,1)))</x:f>
        <x:v>0</x:v>
      </x:c>
      <x:c r="N38" s="25"/>
      <x:c r="O38" s="25"/>
    </x:row>
    <x:row r="39" ht="48" customHeight="1">
      <x:c r="A39" s="29" t="str"/>
      <x:c r="B39" s="29" t="str"/>
      <x:c r="C39" s="29" t="str"/>
      <x:c r="D39" s="29" t="str"/>
      <x:c r="E39" s="29" t="str"/>
      <x:c r="F39" s="29" t="str"/>
      <x:c r="G39" s="29" t="str"/>
      <x:c r="H39" s="29" t="str"/>
      <x:c r="I39" s="29" t="str"/>
      <x:c r="J39" s="29" t="str"/>
      <x:c r="K39" s="30" t="str"/>
      <x:c r="L39" s="29" t="str"/>
      <x:c r="M39" s="28" t="n">
        <x:f>IF(D39&lt;&gt;"طفيف",0,IF(I39="مغلق",0,IF(AND(I39="ملاحظة طفيفة مقبولة",H39&lt;&gt;"",J39&lt;&gt;"",ISNUMBER(K39)),0,1)))</x:f>
        <x:v>0</x:v>
      </x:c>
      <x:c r="N39" s="25"/>
      <x:c r="O39" s="25"/>
    </x:row>
    <x:row r="40" ht="48" customHeight="1">
      <x:c r="A40" s="29" t="str"/>
      <x:c r="B40" s="29" t="str"/>
      <x:c r="C40" s="29" t="str"/>
      <x:c r="D40" s="29" t="str"/>
      <x:c r="E40" s="29" t="str"/>
      <x:c r="F40" s="29" t="str"/>
      <x:c r="G40" s="29" t="str"/>
      <x:c r="H40" s="29" t="str"/>
      <x:c r="I40" s="29" t="str"/>
      <x:c r="J40" s="29" t="str"/>
      <x:c r="K40" s="30" t="str"/>
      <x:c r="L40" s="29" t="str"/>
      <x:c r="M40" s="28" t="n">
        <x:f>IF(D40&lt;&gt;"طفيف",0,IF(I40="مغلق",0,IF(AND(I40="ملاحظة طفيفة مقبولة",H40&lt;&gt;"",J40&lt;&gt;"",ISNUMBER(K40)),0,1)))</x:f>
        <x:v>0</x:v>
      </x:c>
      <x:c r="N40" s="25"/>
      <x:c r="O40" s="25"/>
    </x:row>
    <x:row r="41" ht="48" customHeight="1">
      <x:c r="A41" s="29" t="str"/>
      <x:c r="B41" s="29" t="str"/>
      <x:c r="C41" s="29" t="str"/>
      <x:c r="D41" s="29" t="str"/>
      <x:c r="E41" s="29" t="str"/>
      <x:c r="F41" s="29" t="str"/>
      <x:c r="G41" s="29" t="str"/>
      <x:c r="H41" s="29" t="str"/>
      <x:c r="I41" s="29" t="str"/>
      <x:c r="J41" s="29" t="str"/>
      <x:c r="K41" s="30" t="str"/>
      <x:c r="L41" s="29" t="str"/>
      <x:c r="M41" s="28" t="n">
        <x:f>IF(D41&lt;&gt;"طفيف",0,IF(I41="مغلق",0,IF(AND(I41="ملاحظة طفيفة مقبولة",H41&lt;&gt;"",J41&lt;&gt;"",ISNUMBER(K41)),0,1)))</x:f>
        <x:v>0</x:v>
      </x:c>
      <x:c r="N41" s="25"/>
      <x:c r="O41" s="25"/>
    </x:row>
    <x:row r="42" ht="48" customHeight="1">
      <x:c r="A42" s="29" t="str"/>
      <x:c r="B42" s="29" t="str"/>
      <x:c r="C42" s="29" t="str"/>
      <x:c r="D42" s="29" t="str"/>
      <x:c r="E42" s="29" t="str"/>
      <x:c r="F42" s="29" t="str"/>
      <x:c r="G42" s="29" t="str"/>
      <x:c r="H42" s="29" t="str"/>
      <x:c r="I42" s="29" t="str"/>
      <x:c r="J42" s="29" t="str"/>
      <x:c r="K42" s="30" t="str"/>
      <x:c r="L42" s="29" t="str"/>
      <x:c r="M42" s="28" t="n">
        <x:f>IF(D42&lt;&gt;"طفيف",0,IF(I42="مغلق",0,IF(AND(I42="ملاحظة طفيفة مقبولة",H42&lt;&gt;"",J42&lt;&gt;"",ISNUMBER(K42)),0,1)))</x:f>
        <x:v>0</x:v>
      </x:c>
      <x:c r="N42" s="25"/>
      <x:c r="O42" s="25"/>
    </x:row>
    <x:row r="43" ht="48" customHeight="1">
      <x:c r="A43" s="29" t="str"/>
      <x:c r="B43" s="29" t="str"/>
      <x:c r="C43" s="29" t="str"/>
      <x:c r="D43" s="29" t="str"/>
      <x:c r="E43" s="29" t="str"/>
      <x:c r="F43" s="29" t="str"/>
      <x:c r="G43" s="29" t="str"/>
      <x:c r="H43" s="29" t="str"/>
      <x:c r="I43" s="29" t="str"/>
      <x:c r="J43" s="29" t="str"/>
      <x:c r="K43" s="30" t="str"/>
      <x:c r="L43" s="29" t="str"/>
      <x:c r="M43" s="28" t="n">
        <x:f>IF(D43&lt;&gt;"طفيف",0,IF(I43="مغلق",0,IF(AND(I43="ملاحظة طفيفة مقبولة",H43&lt;&gt;"",J43&lt;&gt;"",ISNUMBER(K43)),0,1)))</x:f>
        <x:v>0</x:v>
      </x:c>
      <x:c r="N43" s="25"/>
      <x:c r="O43" s="25"/>
    </x:row>
    <x:row r="44" ht="48" customHeight="1">
      <x:c r="A44" s="29" t="str"/>
      <x:c r="B44" s="29" t="str"/>
      <x:c r="C44" s="29" t="str"/>
      <x:c r="D44" s="29" t="str"/>
      <x:c r="E44" s="29" t="str"/>
      <x:c r="F44" s="29" t="str"/>
      <x:c r="G44" s="29" t="str"/>
      <x:c r="H44" s="29" t="str"/>
      <x:c r="I44" s="29" t="str"/>
      <x:c r="J44" s="29" t="str"/>
      <x:c r="K44" s="30" t="str"/>
      <x:c r="L44" s="29" t="str"/>
      <x:c r="M44" s="28" t="n">
        <x:f>IF(D44&lt;&gt;"طفيف",0,IF(I44="مغلق",0,IF(AND(I44="ملاحظة طفيفة مقبولة",H44&lt;&gt;"",J44&lt;&gt;"",ISNUMBER(K44)),0,1)))</x:f>
        <x:v>0</x:v>
      </x:c>
      <x:c r="N44" s="25"/>
      <x:c r="O44" s="25"/>
    </x:row>
    <x:row r="45" ht="48" customHeight="1">
      <x:c r="A45" s="29" t="str"/>
      <x:c r="B45" s="29" t="str"/>
      <x:c r="C45" s="29" t="str"/>
      <x:c r="D45" s="29" t="str"/>
      <x:c r="E45" s="29" t="str"/>
      <x:c r="F45" s="29" t="str"/>
      <x:c r="G45" s="29" t="str"/>
      <x:c r="H45" s="29" t="str"/>
      <x:c r="I45" s="29" t="str"/>
      <x:c r="J45" s="29" t="str"/>
      <x:c r="K45" s="30" t="str"/>
      <x:c r="L45" s="29" t="str"/>
      <x:c r="M45" s="28" t="n">
        <x:f>IF(D45&lt;&gt;"طفيف",0,IF(I45="مغلق",0,IF(AND(I45="ملاحظة طفيفة مقبولة",H45&lt;&gt;"",J45&lt;&gt;"",ISNUMBER(K45)),0,1)))</x:f>
        <x:v>0</x:v>
      </x:c>
      <x:c r="N45" s="25"/>
      <x:c r="O45" s="25"/>
    </x:row>
    <x:row r="46">
      <x:c r="A46" s="25"/>
      <x:c r="B46" s="25"/>
      <x:c r="C46" s="25"/>
      <x:c r="D46" s="25"/>
      <x:c r="E46" s="25"/>
      <x:c r="F46" s="25"/>
      <x:c r="G46" s="25"/>
      <x:c r="H46" s="25"/>
      <x:c r="I46" s="25"/>
      <x:c r="J46" s="25"/>
      <x:c r="K46" s="25"/>
      <x:c r="L46" s="25"/>
      <x:c r="M46" s="25"/>
      <x:c r="N46" s="25"/>
      <x:c r="O46" s="25"/>
    </x:row>
    <x:row r="47">
      <x:c r="A47" s="25"/>
      <x:c r="B47" s="25"/>
      <x:c r="C47" s="25"/>
      <x:c r="D47" s="25"/>
      <x:c r="E47" s="25"/>
      <x:c r="F47" s="25"/>
      <x:c r="G47" s="25"/>
      <x:c r="H47" s="25"/>
      <x:c r="I47" s="25"/>
      <x:c r="J47" s="25"/>
      <x:c r="K47" s="25"/>
      <x:c r="L47" s="25"/>
      <x:c r="M47" s="25"/>
      <x:c r="N47" s="25"/>
      <x:c r="O47" s="25"/>
    </x:row>
    <x:row r="48">
      <x:c r="A48" s="25"/>
      <x:c r="B48" s="25"/>
      <x:c r="C48" s="25"/>
      <x:c r="D48" s="25"/>
      <x:c r="E48" s="25"/>
      <x:c r="F48" s="25"/>
      <x:c r="G48" s="25"/>
      <x:c r="H48" s="25"/>
      <x:c r="I48" s="25"/>
      <x:c r="J48" s="25"/>
      <x:c r="K48" s="25"/>
      <x:c r="L48" s="25"/>
      <x:c r="M48" s="25"/>
      <x:c r="N48" s="25"/>
      <x:c r="O48" s="25"/>
    </x:row>
    <x:row r="49">
      <x:c r="A49" s="25"/>
      <x:c r="B49" s="25"/>
      <x:c r="C49" s="25"/>
      <x:c r="D49" s="25"/>
      <x:c r="E49" s="25"/>
      <x:c r="F49" s="25"/>
      <x:c r="G49" s="25"/>
      <x:c r="H49" s="25"/>
      <x:c r="I49" s="25"/>
      <x:c r="J49" s="25"/>
      <x:c r="K49" s="25"/>
      <x:c r="L49" s="25"/>
      <x:c r="M49" s="25"/>
      <x:c r="N49" s="25"/>
      <x:c r="O49" s="25"/>
    </x:row>
    <x:row r="50">
      <x:c r="A50" s="25"/>
      <x:c r="B50" s="25"/>
      <x:c r="C50" s="25"/>
      <x:c r="D50" s="25"/>
      <x:c r="E50" s="25"/>
      <x:c r="F50" s="25"/>
      <x:c r="G50" s="25"/>
      <x:c r="H50" s="25"/>
      <x:c r="I50" s="25"/>
      <x:c r="J50" s="25"/>
      <x:c r="K50" s="25"/>
      <x:c r="L50" s="25"/>
      <x:c r="M50" s="25"/>
      <x:c r="N50" s="25"/>
      <x:c r="O50" s="25"/>
    </x:row>
    <x:row r="51">
      <x:c r="A51" s="25"/>
      <x:c r="B51" s="25"/>
      <x:c r="C51" s="25"/>
      <x:c r="D51" s="25"/>
      <x:c r="E51" s="25"/>
      <x:c r="F51" s="25"/>
      <x:c r="G51" s="25"/>
      <x:c r="H51" s="25"/>
      <x:c r="I51" s="25"/>
      <x:c r="J51" s="25"/>
      <x:c r="K51" s="25"/>
      <x:c r="L51" s="25"/>
      <x:c r="M51" s="25"/>
      <x:c r="N51" s="25"/>
      <x:c r="O51" s="25"/>
    </x:row>
    <x:row r="52">
      <x:c r="A52" s="25"/>
      <x:c r="B52" s="25"/>
      <x:c r="C52" s="25"/>
      <x:c r="D52" s="25"/>
      <x:c r="E52" s="25"/>
      <x:c r="F52" s="25"/>
      <x:c r="G52" s="25"/>
      <x:c r="H52" s="25"/>
      <x:c r="I52" s="25"/>
      <x:c r="J52" s="25"/>
      <x:c r="K52" s="25"/>
      <x:c r="L52" s="25"/>
      <x:c r="M52" s="25"/>
      <x:c r="N52" s="25"/>
      <x:c r="O52" s="25"/>
    </x:row>
    <x:row r="53">
      <x:c r="A53" s="25"/>
      <x:c r="B53" s="25"/>
      <x:c r="C53" s="25"/>
      <x:c r="D53" s="25"/>
      <x:c r="E53" s="25"/>
      <x:c r="F53" s="25"/>
      <x:c r="G53" s="25"/>
      <x:c r="H53" s="25"/>
      <x:c r="I53" s="25"/>
      <x:c r="J53" s="25"/>
      <x:c r="K53" s="25"/>
      <x:c r="L53" s="25"/>
      <x:c r="M53" s="25"/>
      <x:c r="N53" s="25"/>
      <x:c r="O53" s="25"/>
    </x:row>
    <x:row r="54">
      <x:c r="A54" s="25"/>
      <x:c r="B54" s="25"/>
      <x:c r="C54" s="25"/>
      <x:c r="D54" s="25"/>
      <x:c r="E54" s="25"/>
      <x:c r="F54" s="25"/>
      <x:c r="G54" s="25"/>
      <x:c r="H54" s="25"/>
      <x:c r="I54" s="25"/>
      <x:c r="J54" s="25"/>
      <x:c r="K54" s="25"/>
      <x:c r="L54" s="25"/>
      <x:c r="M54" s="25"/>
      <x:c r="N54" s="25"/>
      <x:c r="O54" s="25"/>
    </x:row>
    <x:row r="55">
      <x:c r="A55" s="25"/>
      <x:c r="B55" s="25"/>
      <x:c r="C55" s="25"/>
      <x:c r="D55" s="25"/>
      <x:c r="E55" s="25"/>
      <x:c r="F55" s="25"/>
      <x:c r="G55" s="25"/>
      <x:c r="H55" s="25"/>
      <x:c r="I55" s="25"/>
      <x:c r="J55" s="25"/>
      <x:c r="K55" s="25"/>
      <x:c r="L55" s="25"/>
      <x:c r="M55" s="25"/>
      <x:c r="N55" s="25"/>
      <x:c r="O55" s="25"/>
    </x:row>
    <x:row r="56">
      <x:c r="A56" s="25"/>
      <x:c r="B56" s="25"/>
      <x:c r="C56" s="25"/>
      <x:c r="D56" s="25"/>
      <x:c r="E56" s="25"/>
      <x:c r="F56" s="25"/>
      <x:c r="G56" s="25"/>
      <x:c r="H56" s="25"/>
      <x:c r="I56" s="25"/>
      <x:c r="J56" s="25"/>
      <x:c r="K56" s="25"/>
      <x:c r="L56" s="25"/>
      <x:c r="M56" s="25"/>
      <x:c r="N56" s="25"/>
      <x:c r="O56" s="25"/>
    </x:row>
    <x:row r="57">
      <x:c r="A57" s="25"/>
      <x:c r="B57" s="25"/>
      <x:c r="C57" s="25"/>
      <x:c r="D57" s="25"/>
      <x:c r="E57" s="25"/>
      <x:c r="F57" s="25"/>
      <x:c r="G57" s="25"/>
      <x:c r="H57" s="25"/>
      <x:c r="I57" s="25"/>
      <x:c r="J57" s="25"/>
      <x:c r="K57" s="25"/>
      <x:c r="L57" s="25"/>
      <x:c r="M57" s="25"/>
      <x:c r="N57" s="25"/>
      <x:c r="O57" s="25"/>
    </x:row>
    <x:row r="58">
      <x:c r="A58" s="25"/>
      <x:c r="B58" s="25"/>
      <x:c r="C58" s="25"/>
      <x:c r="D58" s="25"/>
      <x:c r="E58" s="25"/>
      <x:c r="F58" s="25"/>
      <x:c r="G58" s="25"/>
      <x:c r="H58" s="25"/>
      <x:c r="I58" s="25"/>
      <x:c r="J58" s="25"/>
      <x:c r="K58" s="25"/>
      <x:c r="L58" s="25"/>
      <x:c r="M58" s="25"/>
      <x:c r="N58" s="25"/>
      <x:c r="O58" s="25"/>
    </x:row>
    <x:row r="59">
      <x:c r="A59" s="25"/>
      <x:c r="B59" s="25"/>
      <x:c r="C59" s="25"/>
      <x:c r="D59" s="25"/>
      <x:c r="E59" s="25"/>
      <x:c r="F59" s="25"/>
      <x:c r="G59" s="25"/>
      <x:c r="H59" s="25"/>
      <x:c r="I59" s="25"/>
      <x:c r="J59" s="25"/>
      <x:c r="K59" s="25"/>
      <x:c r="L59" s="25"/>
      <x:c r="M59" s="25"/>
      <x:c r="N59" s="25"/>
      <x:c r="O59" s="25"/>
    </x:row>
    <x:row r="60">
      <x:c r="A60" s="25"/>
      <x:c r="B60" s="25"/>
      <x:c r="C60" s="25"/>
      <x:c r="D60" s="25"/>
      <x:c r="E60" s="25"/>
      <x:c r="F60" s="25"/>
      <x:c r="G60" s="25"/>
      <x:c r="H60" s="25"/>
      <x:c r="I60" s="25"/>
      <x:c r="J60" s="25"/>
      <x:c r="K60" s="25"/>
      <x:c r="L60" s="25"/>
      <x:c r="M60" s="25"/>
      <x:c r="N60" s="25"/>
      <x:c r="O60" s="25"/>
    </x:row>
    <x:row r="61">
      <x:c r="A61" s="25"/>
      <x:c r="B61" s="25"/>
      <x:c r="C61" s="25"/>
      <x:c r="D61" s="25"/>
      <x:c r="E61" s="25"/>
      <x:c r="F61" s="25"/>
      <x:c r="G61" s="25"/>
      <x:c r="H61" s="25"/>
      <x:c r="I61" s="25"/>
      <x:c r="J61" s="25"/>
      <x:c r="K61" s="25"/>
      <x:c r="L61" s="25"/>
      <x:c r="M61" s="25"/>
      <x:c r="N61" s="25"/>
      <x:c r="O61" s="25"/>
    </x:row>
    <x:row r="62">
      <x:c r="A62" s="25"/>
      <x:c r="B62" s="25"/>
      <x:c r="C62" s="25"/>
      <x:c r="D62" s="25"/>
      <x:c r="E62" s="25"/>
      <x:c r="F62" s="25"/>
      <x:c r="G62" s="25"/>
      <x:c r="H62" s="25"/>
      <x:c r="I62" s="25"/>
      <x:c r="J62" s="25"/>
      <x:c r="K62" s="25"/>
      <x:c r="L62" s="25"/>
      <x:c r="M62" s="25"/>
      <x:c r="N62" s="25"/>
      <x:c r="O62" s="25"/>
    </x:row>
    <x:row r="63">
      <x:c r="A63" s="25"/>
      <x:c r="B63" s="25"/>
      <x:c r="C63" s="25"/>
      <x:c r="D63" s="25"/>
      <x:c r="E63" s="25"/>
      <x:c r="F63" s="25"/>
      <x:c r="G63" s="25"/>
      <x:c r="H63" s="25"/>
      <x:c r="I63" s="25"/>
      <x:c r="J63" s="25"/>
      <x:c r="K63" s="25"/>
      <x:c r="L63" s="25"/>
      <x:c r="M63" s="25"/>
      <x:c r="N63" s="25"/>
      <x:c r="O63" s="25"/>
    </x:row>
    <x:row r="64">
      <x:c r="A64" s="25"/>
      <x:c r="B64" s="25"/>
      <x:c r="C64" s="25"/>
      <x:c r="D64" s="25"/>
      <x:c r="E64" s="25"/>
      <x:c r="F64" s="25"/>
      <x:c r="G64" s="25"/>
      <x:c r="H64" s="25"/>
      <x:c r="I64" s="25"/>
      <x:c r="J64" s="25"/>
      <x:c r="K64" s="25"/>
      <x:c r="L64" s="25"/>
      <x:c r="M64" s="25"/>
      <x:c r="N64" s="25"/>
      <x:c r="O64" s="25"/>
    </x:row>
    <x:row r="65">
      <x:c r="A65" s="25"/>
      <x:c r="B65" s="25"/>
      <x:c r="C65" s="25"/>
      <x:c r="D65" s="25"/>
      <x:c r="E65" s="25"/>
      <x:c r="F65" s="25"/>
      <x:c r="G65" s="25"/>
      <x:c r="H65" s="25"/>
      <x:c r="I65" s="25"/>
      <x:c r="J65" s="25"/>
      <x:c r="K65" s="25"/>
      <x:c r="L65" s="25"/>
      <x:c r="M65" s="25"/>
      <x:c r="N65" s="25"/>
      <x:c r="O65" s="25"/>
    </x:row>
    <x:row r="66">
      <x:c r="A66" s="25"/>
      <x:c r="B66" s="25"/>
      <x:c r="C66" s="25"/>
      <x:c r="D66" s="25"/>
      <x:c r="E66" s="25"/>
      <x:c r="F66" s="25"/>
      <x:c r="G66" s="25"/>
      <x:c r="H66" s="25"/>
      <x:c r="I66" s="25"/>
      <x:c r="J66" s="25"/>
      <x:c r="K66" s="25"/>
      <x:c r="L66" s="25"/>
      <x:c r="M66" s="25"/>
      <x:c r="N66" s="25"/>
      <x:c r="O66" s="25"/>
    </x:row>
    <x:row r="67">
      <x:c r="A67" s="25"/>
      <x:c r="B67" s="25"/>
      <x:c r="C67" s="25"/>
      <x:c r="D67" s="25"/>
      <x:c r="E67" s="25"/>
      <x:c r="F67" s="25"/>
      <x:c r="G67" s="25"/>
      <x:c r="H67" s="25"/>
      <x:c r="I67" s="25"/>
      <x:c r="J67" s="25"/>
      <x:c r="K67" s="25"/>
      <x:c r="L67" s="25"/>
      <x:c r="M67" s="25"/>
      <x:c r="N67" s="25"/>
      <x:c r="O67" s="25"/>
    </x:row>
    <x:row r="68">
      <x:c r="A68" s="25"/>
      <x:c r="B68" s="25"/>
      <x:c r="C68" s="25"/>
      <x:c r="D68" s="25"/>
      <x:c r="E68" s="25"/>
      <x:c r="F68" s="25"/>
      <x:c r="G68" s="25"/>
      <x:c r="H68" s="25"/>
      <x:c r="I68" s="25"/>
      <x:c r="J68" s="25"/>
      <x:c r="K68" s="25"/>
      <x:c r="L68" s="25"/>
      <x:c r="M68" s="25"/>
      <x:c r="N68" s="25"/>
      <x:c r="O68" s="25"/>
    </x:row>
    <x:row r="69">
      <x:c r="A69" s="25"/>
      <x:c r="B69" s="25"/>
      <x:c r="C69" s="25"/>
      <x:c r="D69" s="25"/>
      <x:c r="E69" s="25"/>
      <x:c r="F69" s="25"/>
      <x:c r="G69" s="25"/>
      <x:c r="H69" s="25"/>
      <x:c r="I69" s="25"/>
      <x:c r="J69" s="25"/>
      <x:c r="K69" s="25"/>
      <x:c r="L69" s="25"/>
      <x:c r="M69" s="25"/>
      <x:c r="N69" s="25"/>
      <x:c r="O69" s="25"/>
    </x:row>
    <x:row r="70">
      <x:c r="A70" s="25"/>
      <x:c r="B70" s="25"/>
      <x:c r="C70" s="25"/>
      <x:c r="D70" s="25"/>
      <x:c r="E70" s="25"/>
      <x:c r="F70" s="25"/>
      <x:c r="G70" s="25"/>
      <x:c r="H70" s="25"/>
      <x:c r="I70" s="25"/>
      <x:c r="J70" s="25"/>
      <x:c r="K70" s="25"/>
      <x:c r="L70" s="25"/>
      <x:c r="M70" s="25"/>
      <x:c r="N70" s="25"/>
      <x:c r="O70" s="25"/>
    </x:row>
    <x:row r="71">
      <x:c r="A71" s="25"/>
      <x:c r="B71" s="25"/>
      <x:c r="C71" s="25"/>
      <x:c r="D71" s="25"/>
      <x:c r="E71" s="25"/>
      <x:c r="F71" s="25"/>
      <x:c r="G71" s="25"/>
      <x:c r="H71" s="25"/>
      <x:c r="I71" s="25"/>
      <x:c r="J71" s="25"/>
      <x:c r="K71" s="25"/>
      <x:c r="L71" s="25"/>
      <x:c r="M71" s="25"/>
      <x:c r="N71" s="25"/>
      <x:c r="O71" s="25"/>
    </x:row>
    <x:row r="72">
      <x:c r="A72" s="25"/>
      <x:c r="B72" s="25"/>
      <x:c r="C72" s="25"/>
      <x:c r="D72" s="25"/>
      <x:c r="E72" s="25"/>
      <x:c r="F72" s="25"/>
      <x:c r="G72" s="25"/>
      <x:c r="H72" s="25"/>
      <x:c r="I72" s="25"/>
      <x:c r="J72" s="25"/>
      <x:c r="K72" s="25"/>
      <x:c r="L72" s="25"/>
      <x:c r="M72" s="25"/>
      <x:c r="N72" s="25"/>
      <x:c r="O72" s="25"/>
    </x:row>
    <x:row r="73">
      <x:c r="A73" s="25"/>
      <x:c r="B73" s="25"/>
      <x:c r="C73" s="25"/>
      <x:c r="D73" s="25"/>
      <x:c r="E73" s="25"/>
      <x:c r="F73" s="25"/>
      <x:c r="G73" s="25"/>
      <x:c r="H73" s="25"/>
      <x:c r="I73" s="25"/>
      <x:c r="J73" s="25"/>
      <x:c r="K73" s="25"/>
      <x:c r="L73" s="25"/>
      <x:c r="M73" s="25"/>
      <x:c r="N73" s="25"/>
      <x:c r="O73" s="25"/>
    </x:row>
    <x:row r="74">
      <x:c r="A74" s="25"/>
      <x:c r="B74" s="25"/>
      <x:c r="C74" s="25"/>
      <x:c r="D74" s="25"/>
      <x:c r="E74" s="25"/>
      <x:c r="F74" s="25"/>
      <x:c r="G74" s="25"/>
      <x:c r="H74" s="25"/>
      <x:c r="I74" s="25"/>
      <x:c r="J74" s="25"/>
      <x:c r="K74" s="25"/>
      <x:c r="L74" s="25"/>
      <x:c r="M74" s="25"/>
      <x:c r="N74" s="25"/>
      <x:c r="O74" s="25"/>
    </x:row>
    <x:row r="75">
      <x:c r="A75" s="25"/>
      <x:c r="B75" s="25"/>
      <x:c r="C75" s="25"/>
      <x:c r="D75" s="25"/>
      <x:c r="E75" s="25"/>
      <x:c r="F75" s="25"/>
      <x:c r="G75" s="25"/>
      <x:c r="H75" s="25"/>
      <x:c r="I75" s="25"/>
      <x:c r="J75" s="25"/>
      <x:c r="K75" s="25"/>
      <x:c r="L75" s="25"/>
      <x:c r="M75" s="25"/>
      <x:c r="N75" s="25"/>
      <x:c r="O75" s="25"/>
    </x:row>
    <x:row r="76">
      <x:c r="A76" s="25"/>
      <x:c r="B76" s="25"/>
      <x:c r="C76" s="25"/>
      <x:c r="D76" s="25"/>
      <x:c r="E76" s="25"/>
      <x:c r="F76" s="25"/>
      <x:c r="G76" s="25"/>
      <x:c r="H76" s="25"/>
      <x:c r="I76" s="25"/>
      <x:c r="J76" s="25"/>
      <x:c r="K76" s="25"/>
      <x:c r="L76" s="25"/>
      <x:c r="M76" s="25"/>
      <x:c r="N76" s="25"/>
      <x:c r="O76" s="25"/>
    </x:row>
    <x:row r="77">
      <x:c r="A77" s="25"/>
      <x:c r="B77" s="25"/>
      <x:c r="C77" s="25"/>
      <x:c r="D77" s="25"/>
      <x:c r="E77" s="25"/>
      <x:c r="F77" s="25"/>
      <x:c r="G77" s="25"/>
      <x:c r="H77" s="25"/>
      <x:c r="I77" s="25"/>
      <x:c r="J77" s="25"/>
      <x:c r="K77" s="25"/>
      <x:c r="L77" s="25"/>
      <x:c r="M77" s="25"/>
      <x:c r="N77" s="25"/>
      <x:c r="O77" s="25"/>
    </x:row>
    <x:row r="78">
      <x:c r="A78" s="25"/>
      <x:c r="B78" s="25"/>
      <x:c r="C78" s="25"/>
      <x:c r="D78" s="25"/>
      <x:c r="E78" s="25"/>
      <x:c r="F78" s="25"/>
      <x:c r="G78" s="25"/>
      <x:c r="H78" s="25"/>
      <x:c r="I78" s="25"/>
      <x:c r="J78" s="25"/>
      <x:c r="K78" s="25"/>
      <x:c r="L78" s="25"/>
      <x:c r="M78" s="25"/>
      <x:c r="N78" s="25"/>
      <x:c r="O78" s="25"/>
    </x:row>
    <x:row r="79">
      <x:c r="A79" s="25"/>
      <x:c r="B79" s="25"/>
      <x:c r="C79" s="25"/>
      <x:c r="D79" s="25"/>
      <x:c r="E79" s="25"/>
      <x:c r="F79" s="25"/>
      <x:c r="G79" s="25"/>
      <x:c r="H79" s="25"/>
      <x:c r="I79" s="25"/>
      <x:c r="J79" s="25"/>
      <x:c r="K79" s="25"/>
      <x:c r="L79" s="25"/>
      <x:c r="M79" s="25"/>
      <x:c r="N79" s="25"/>
      <x:c r="O79" s="25"/>
    </x:row>
    <x:row r="80">
      <x:c r="A80" s="25"/>
      <x:c r="B80" s="25"/>
      <x:c r="C80" s="25"/>
      <x:c r="D80" s="25"/>
      <x:c r="E80" s="25"/>
      <x:c r="F80" s="25"/>
      <x:c r="G80" s="25"/>
      <x:c r="H80" s="25"/>
      <x:c r="I80" s="25"/>
      <x:c r="J80" s="25"/>
      <x:c r="K80" s="25"/>
      <x:c r="L80" s="25"/>
      <x:c r="M80" s="25"/>
      <x:c r="N80" s="25"/>
      <x:c r="O80" s="25"/>
    </x:row>
    <x:row r="81">
      <x:c r="A81" s="25"/>
      <x:c r="B81" s="25"/>
      <x:c r="C81" s="25"/>
      <x:c r="D81" s="25"/>
      <x:c r="E81" s="25"/>
      <x:c r="F81" s="25"/>
      <x:c r="G81" s="25"/>
      <x:c r="H81" s="25"/>
      <x:c r="I81" s="25"/>
      <x:c r="J81" s="25"/>
      <x:c r="K81" s="25"/>
      <x:c r="L81" s="25"/>
      <x:c r="M81" s="25"/>
      <x:c r="N81" s="25"/>
      <x:c r="O81" s="25"/>
    </x:row>
  </x:sheetData>
  <x:dataValidations count="3">
    <x:dataValidation type="list" sqref="C6:C45">
      <x:formula1>"خلل,فجوة وظيفية,بيئة الاختبار,سياسة / مرجع معتمد"</x:formula1>
    </x:dataValidation>
    <x:dataValidation type="list" sqref="D6:D45">
      <x:formula1>"حرج,جسيم,طفيف"</x:formula1>
    </x:dataValidation>
    <x:dataValidation type="list" sqref="I6:I45">
      <x:formula1>"مفتوح,قيد المعالجة,جاهز لإعادة الاختبار,مغلق,ملاحظة طفيفة مقبولة"</x:formula1>
    </x:dataValidation>
  </x:dataValidations>
  <x:pageMargins left="0.7" right="0.7" top="0.75" bottom="0.75" header="0.3" footer="0.3"/>
  <x:tableParts count="1">
    <x:tablePart r:id="R8033ef3c0c384b7d"/>
  </x:tableParts>
</x:worksheet>
</file>

<file path=xl/worksheets/sheet6.xml><?xml version="1.0" encoding="utf-8"?>
<x:worksheet xmlns:r="http://schemas.openxmlformats.org/officeDocument/2006/relationships" xmlns:x="http://schemas.openxmlformats.org/spreadsheetml/2006/main">
  <x:sheetViews>
    <x:sheetView showGridLines="0" workbookViewId="0" rightToLeft="1">
      <x:pane xSplit="1" ySplit="5" topLeftCell="B6" activePane="bottomRight" state="frozen"/>
    </x:sheetView>
  </x:sheetViews>
  <x:sheetFormatPr defaultRowHeight="15"/>
  <x:cols>
    <x:col min="1" max="1" width="29" hidden="0" customWidth="1"/>
    <x:col min="2" max="2" width="32" hidden="0" customWidth="1"/>
    <x:col min="3" max="3" width="85" hidden="0" customWidth="1"/>
    <x:col min="4" max="4" width="22" hidden="0" customWidth="1"/>
    <x:col min="5" max="5" width="26" hidden="0" customWidth="1"/>
    <x:col min="6" max="6" width="18" hidden="0" customWidth="1"/>
    <x:col min="7" max="7" width="55" hidden="0" customWidth="1"/>
    <x:col min="8" max="8" width="50" hidden="0" customWidth="1"/>
    <x:col min="9" max="9" width="20" hidden="0" customWidth="1"/>
  </x:cols>
  <x:sheetData>
    <x:row r="1">
      <x:c r="A1" s="25"/>
      <x:c r="B1" s="25"/>
      <x:c r="C1" s="25"/>
      <x:c r="D1" s="25"/>
      <x:c r="E1" s="25"/>
      <x:c r="F1" s="25"/>
      <x:c r="G1" s="25"/>
      <x:c r="H1" s="25"/>
      <x:c r="I1" s="25"/>
      <x:c r="J1" s="25"/>
      <x:c r="K1" s="25"/>
      <x:c r="L1" s="25"/>
      <x:c r="M1" s="25"/>
      <x:c r="N1" s="25"/>
      <x:c r="O1" s="25"/>
    </x:row>
    <x:row r="2" ht="23" customHeight="1">
      <x:c r="A2" s="26" t="str">
        <x:v>اعتماد نتائج الاختبار</x:v>
      </x:c>
      <x:c r="B2" s="25"/>
      <x:c r="C2" s="25"/>
      <x:c r="D2" s="25"/>
      <x:c r="E2" s="25"/>
      <x:c r="F2" s="25"/>
      <x:c r="G2" s="25"/>
      <x:c r="H2" s="25"/>
      <x:c r="I2" s="25"/>
      <x:c r="J2" s="25"/>
      <x:c r="K2" s="25"/>
      <x:c r="L2" s="25"/>
      <x:c r="M2" s="25"/>
      <x:c r="N2" s="25"/>
      <x:c r="O2" s="25"/>
    </x:row>
    <x:row r="3">
      <x:c r="A3" s="25"/>
      <x:c r="B3" s="25"/>
      <x:c r="C3" s="25"/>
      <x:c r="D3" s="25"/>
      <x:c r="E3" s="25"/>
      <x:c r="F3" s="25"/>
      <x:c r="G3" s="25"/>
      <x:c r="H3" s="25"/>
      <x:c r="I3" s="25"/>
      <x:c r="J3" s="25"/>
      <x:c r="K3" s="25"/>
      <x:c r="L3" s="25"/>
      <x:c r="M3" s="25"/>
      <x:c r="N3" s="25"/>
      <x:c r="O3" s="25"/>
    </x:row>
    <x:row r="4">
      <x:c r="A4" s="25"/>
      <x:c r="B4" s="25"/>
      <x:c r="C4" s="25"/>
      <x:c r="D4" s="25"/>
      <x:c r="E4" s="25"/>
      <x:c r="F4" s="25"/>
      <x:c r="G4" s="25"/>
      <x:c r="H4" s="25"/>
      <x:c r="I4" s="25"/>
      <x:c r="J4" s="25"/>
      <x:c r="K4" s="25"/>
      <x:c r="L4" s="25"/>
      <x:c r="M4" s="25"/>
      <x:c r="N4" s="25"/>
      <x:c r="O4" s="25"/>
    </x:row>
    <x:row r="5" ht="48" customHeight="1">
      <x:c r="A5" s="27" t="str">
        <x:v>صفة المسؤول</x:v>
      </x:c>
      <x:c r="B5" s="27" t="str">
        <x:v>المجال</x:v>
      </x:c>
      <x:c r="C5" s="27" t="str">
        <x:v>متطلب المراجعة</x:v>
      </x:c>
      <x:c r="D5" s="27" t="str">
        <x:v>القرار</x:v>
      </x:c>
      <x:c r="E5" s="27" t="str">
        <x:v>اسم المعتمِد</x:v>
      </x:c>
      <x:c r="F5" s="27" t="str">
        <x:v>التاريخ</x:v>
      </x:c>
      <x:c r="G5" s="27" t="str">
        <x:v>الأدلة / معرّفات الملاحظات الطفيفة المقبولة</x:v>
      </x:c>
      <x:c r="H5" s="27" t="str">
        <x:v>التعليقات</x:v>
      </x:c>
      <x:c r="I5" s="27" t="str">
        <x:v>معتمد مع الأدلة (1/0)</x:v>
      </x:c>
      <x:c r="J5" s="25"/>
      <x:c r="K5" s="25"/>
      <x:c r="L5" s="25"/>
      <x:c r="M5" s="25"/>
      <x:c r="N5" s="25"/>
      <x:c r="O5" s="25"/>
    </x:row>
    <x:row r="6" ht="85" customHeight="1">
      <x:c r="A6" s="28" t="str">
        <x:v>مدير شؤون الموظفين</x:v>
      </x:c>
      <x:c r="B6" s="28" t="str">
        <x:v>شؤون الموظفين / دورة الخدمة</x:v>
      </x:c>
      <x:c r="C6" s="28" t="str">
        <x:v>جميع حالات HR والمساران E2E-01 وE2E-04؛ السجل التاريخي والسلوك في العمليات المرتبطة</x:v>
      </x:c>
      <x:c r="D6" s="29" t="str">
        <x:v>بانتظار الاعتماد</x:v>
      </x:c>
      <x:c r="E6" s="29" t="str"/>
      <x:c r="F6" s="30" t="str"/>
      <x:c r="G6" s="29" t="str"/>
      <x:c r="H6" s="29" t="str"/>
      <x:c r="I6" s="28" t="n">
        <x:f>IF(AND(D6="معتمد",E6&lt;&gt;"",ISNUMBER(F6),G6&lt;&gt;""),1,0)</x:f>
        <x:v>0</x:v>
      </x:c>
      <x:c r="J6" s="25"/>
      <x:c r="K6" s="25"/>
      <x:c r="L6" s="25"/>
      <x:c r="M6" s="25"/>
      <x:c r="N6" s="25"/>
      <x:c r="O6" s="25"/>
    </x:row>
    <x:row r="7" ht="85" customHeight="1">
      <x:c r="A7" s="28" t="str">
        <x:v>مسؤول التوظيف</x:v>
      </x:c>
      <x:c r="B7" s="28" t="str">
        <x:v>التوظيف</x:v>
      </x:c>
      <x:c r="C7" s="28" t="str">
        <x:v>جميع حالات REC والمسار E2E-01؛ تسليم بيانات التعيين</x:v>
      </x:c>
      <x:c r="D7" s="29" t="str">
        <x:v>بانتظار الاعتماد</x:v>
      </x:c>
      <x:c r="E7" s="29" t="str"/>
      <x:c r="F7" s="30" t="str"/>
      <x:c r="G7" s="29" t="str"/>
      <x:c r="H7" s="29" t="str"/>
      <x:c r="I7" s="28" t="n">
        <x:f>IF(AND(D7="معتمد",E7&lt;&gt;"",ISNUMBER(F7),G7&lt;&gt;""),1,0)</x:f>
        <x:v>0</x:v>
      </x:c>
      <x:c r="J7" s="25"/>
      <x:c r="K7" s="25"/>
      <x:c r="L7" s="25"/>
      <x:c r="M7" s="25"/>
      <x:c r="N7" s="25"/>
      <x:c r="O7" s="25"/>
    </x:row>
    <x:row r="8" ht="85" customHeight="1">
      <x:c r="A8" s="28" t="str">
        <x:v>مسؤول الحضور</x:v>
      </x:c>
      <x:c r="B8" s="28" t="str">
        <x:v>الحضور</x:v>
      </x:c>
      <x:c r="C8" s="28" t="str">
        <x:v>جميع حالات ATT والمسار E2E-02؛ مصالحة الدقائق ومدخلات العمل</x:v>
      </x:c>
      <x:c r="D8" s="29" t="str">
        <x:v>بانتظار الاعتماد</x:v>
      </x:c>
      <x:c r="E8" s="29" t="str"/>
      <x:c r="F8" s="30" t="str"/>
      <x:c r="G8" s="29" t="str"/>
      <x:c r="H8" s="29" t="str"/>
      <x:c r="I8" s="28" t="n">
        <x:f>IF(AND(D8="معتمد",E8&lt;&gt;"",ISNUMBER(F8),G8&lt;&gt;""),1,0)</x:f>
        <x:v>0</x:v>
      </x:c>
      <x:c r="J8" s="25"/>
      <x:c r="K8" s="25"/>
      <x:c r="L8" s="25"/>
      <x:c r="M8" s="25"/>
      <x:c r="N8" s="25"/>
      <x:c r="O8" s="25"/>
    </x:row>
    <x:row r="9" ht="85" customHeight="1">
      <x:c r="A9" s="28" t="str">
        <x:v>مسؤول الإجازات</x:v>
      </x:c>
      <x:c r="B9" s="28" t="str">
        <x:v>الإجازات</x:v>
      </x:c>
      <x:c r="C9" s="28" t="str">
        <x:v>جميع حالات LEV والمسار E2E-03؛ مصالحة سجل الإجازات</x:v>
      </x:c>
      <x:c r="D9" s="29" t="str">
        <x:v>بانتظار الاعتماد</x:v>
      </x:c>
      <x:c r="E9" s="29" t="str"/>
      <x:c r="F9" s="30" t="str"/>
      <x:c r="G9" s="29" t="str"/>
      <x:c r="H9" s="29" t="str"/>
      <x:c r="I9" s="28" t="n">
        <x:f>IF(AND(D9="معتمد",E9&lt;&gt;"",ISNUMBER(F9),G9&lt;&gt;""),1,0)</x:f>
        <x:v>0</x:v>
      </x:c>
      <x:c r="J9" s="25"/>
      <x:c r="K9" s="25"/>
      <x:c r="L9" s="25"/>
      <x:c r="M9" s="25"/>
      <x:c r="N9" s="25"/>
      <x:c r="O9" s="25"/>
    </x:row>
    <x:row r="10" ht="85" customHeight="1">
      <x:c r="A10" s="28" t="str">
        <x:v>مدير الرواتب</x:v>
      </x:c>
      <x:c r="B10" s="28" t="str">
        <x:v>الرواتب</x:v>
      </x:c>
      <x:c r="C10" s="28" t="str">
        <x:v>جميع حالات PAY والمساران E2E-02 وE2E-04؛ المبالغ المرجعية المعتمدة ومسار الإنتاج</x:v>
      </x:c>
      <x:c r="D10" s="29" t="str">
        <x:v>بانتظار الاعتماد</x:v>
      </x:c>
      <x:c r="E10" s="29" t="str"/>
      <x:c r="F10" s="30" t="str"/>
      <x:c r="G10" s="29" t="str"/>
      <x:c r="H10" s="29" t="str"/>
      <x:c r="I10" s="28" t="n">
        <x:f>IF(AND(D10="معتمد",E10&lt;&gt;"",ISNUMBER(F10),G10&lt;&gt;""),1,0)</x:f>
        <x:v>0</x:v>
      </x:c>
      <x:c r="J10" s="25"/>
      <x:c r="K10" s="25"/>
      <x:c r="L10" s="25"/>
      <x:c r="M10" s="25"/>
      <x:c r="N10" s="25"/>
      <x:c r="O10" s="25"/>
    </x:row>
    <x:row r="11" ht="85" customHeight="1">
      <x:c r="A11" s="28" t="str">
        <x:v>الإدارة المالية</x:v>
      </x:c>
      <x:c r="B11" s="28" t="str">
        <x:v>محاسبة الرواتب / المخرجات</x:v>
      </x:c>
      <x:c r="C11" s="28" t="str">
        <x:v>PAY-05 وPAY-06؛ القيود المحاسبية وملف حماية أجور صالح للاستخدام ومراجع المخصصات</x:v>
      </x:c>
      <x:c r="D11" s="29" t="str">
        <x:v>بانتظار الاعتماد</x:v>
      </x:c>
      <x:c r="E11" s="29" t="str"/>
      <x:c r="F11" s="30" t="str"/>
      <x:c r="G11" s="29" t="str"/>
      <x:c r="H11" s="29" t="str"/>
      <x:c r="I11" s="28" t="n">
        <x:f>IF(AND(D11="معتمد",E11&lt;&gt;"",ISNUMBER(F11),G11&lt;&gt;""),1,0)</x:f>
        <x:v>0</x:v>
      </x:c>
      <x:c r="J11" s="25"/>
      <x:c r="K11" s="25"/>
      <x:c r="L11" s="25"/>
      <x:c r="M11" s="25"/>
      <x:c r="N11" s="25"/>
      <x:c r="O11" s="25"/>
    </x:row>
    <x:row r="12" ht="85" customHeight="1">
      <x:c r="A12" s="28" t="str">
        <x:v>مدير إدارة الأداء</x:v>
      </x:c>
      <x:c r="B12" s="28" t="str">
        <x:v>الأداء</x:v>
      </x:c>
      <x:c r="C12" s="28" t="str">
        <x:v>جميع حالات PER؛ حساب الدرجات المستقل</x:v>
      </x:c>
      <x:c r="D12" s="29" t="str">
        <x:v>بانتظار الاعتماد</x:v>
      </x:c>
      <x:c r="E12" s="29" t="str"/>
      <x:c r="F12" s="30" t="str"/>
      <x:c r="G12" s="29" t="str"/>
      <x:c r="H12" s="29" t="str"/>
      <x:c r="I12" s="28" t="n">
        <x:f>IF(AND(D12="معتمد",E12&lt;&gt;"",ISNUMBER(F12),G12&lt;&gt;""),1,0)</x:f>
        <x:v>0</x:v>
      </x:c>
      <x:c r="J12" s="25"/>
      <x:c r="K12" s="25"/>
      <x:c r="L12" s="25"/>
      <x:c r="M12" s="25"/>
      <x:c r="N12" s="25"/>
      <x:c r="O12" s="25"/>
    </x:row>
    <x:row r="13" ht="85" customHeight="1">
      <x:c r="A13" s="28" t="str">
        <x:v>منسق التدريب</x:v>
      </x:c>
      <x:c r="B13" s="28" t="str">
        <x:v>التدريب</x:v>
      </x:c>
      <x:c r="C13" s="28" t="str">
        <x:v>جميع حالات TRN؛ سجل الموظف والشهادات</x:v>
      </x:c>
      <x:c r="D13" s="29" t="str">
        <x:v>بانتظار الاعتماد</x:v>
      </x:c>
      <x:c r="E13" s="29" t="str"/>
      <x:c r="F13" s="30" t="str"/>
      <x:c r="G13" s="29" t="str"/>
      <x:c r="H13" s="29" t="str"/>
      <x:c r="I13" s="28" t="n">
        <x:f>IF(AND(D13="معتمد",E13&lt;&gt;"",ISNUMBER(F13),G13&lt;&gt;""),1,0)</x:f>
        <x:v>0</x:v>
      </x:c>
      <x:c r="J13" s="25"/>
      <x:c r="K13" s="25"/>
      <x:c r="L13" s="25"/>
      <x:c r="M13" s="25"/>
      <x:c r="N13" s="25"/>
      <x:c r="O13" s="25"/>
    </x:row>
    <x:row r="14" ht="85" customHeight="1">
      <x:c r="A14" s="28" t="str">
        <x:v>مسؤول النظام</x:v>
      </x:c>
      <x:c r="B14" s="28" t="str">
        <x:v>ضوابط الوصول</x:v>
      </x:c>
      <x:c r="C14" s="28" t="str">
        <x:v>CTL-02 في جميع مجالات الموارد البشرية وفرعَي مصدر النقل ووجهته</x:v>
      </x:c>
      <x:c r="D14" s="29" t="str">
        <x:v>بانتظار الاعتماد</x:v>
      </x:c>
      <x:c r="E14" s="29" t="str"/>
      <x:c r="F14" s="30" t="str"/>
      <x:c r="G14" s="29" t="str"/>
      <x:c r="H14" s="29" t="str"/>
      <x:c r="I14" s="28" t="n">
        <x:f>IF(AND(D14="معتمد",E14&lt;&gt;"",ISNUMBER(F14),G14&lt;&gt;""),1,0)</x:f>
        <x:v>0</x:v>
      </x:c>
      <x:c r="J14" s="25"/>
      <x:c r="K14" s="25"/>
      <x:c r="L14" s="25"/>
      <x:c r="M14" s="25"/>
      <x:c r="N14" s="25"/>
      <x:c r="O14" s="25"/>
    </x:row>
    <x:row r="15" ht="85" customHeight="1">
      <x:c r="A15" s="28" t="str">
        <x:v>مدير الموارد البشرية</x:v>
      </x:c>
      <x:c r="B15" s="28" t="str">
        <x:v>قبول الإصدار للتشغيل</x:v>
      </x:c>
      <x:c r="C15" s="28" t="str">
        <x:v>نجاح جميع الحالات الحرجة، ونجاح البقية أو توثيق قرار مسؤولها، وعدم وجود ملاحظات حرجة أو جسيمة معلقة؛ وللملاحظات الطفيفة المقبولة حل بديل ومسؤول وتاريخ</x:v>
      </x:c>
      <x:c r="D15" s="29" t="str">
        <x:v>بانتظار الاعتماد</x:v>
      </x:c>
      <x:c r="E15" s="29" t="str"/>
      <x:c r="F15" s="30" t="str"/>
      <x:c r="G15" s="29" t="str"/>
      <x:c r="H15" s="29" t="str"/>
      <x:c r="I15" s="28" t="n">
        <x:f>IF(AND(D15="معتمد",E15&lt;&gt;"",ISNUMBER(F15),G15&lt;&gt;""),1,0)</x:f>
        <x:v>0</x:v>
      </x:c>
      <x:c r="J15" s="25"/>
      <x:c r="K15" s="25"/>
      <x:c r="L15" s="25"/>
      <x:c r="M15" s="25"/>
      <x:c r="N15" s="25"/>
      <x:c r="O15" s="25"/>
    </x:row>
    <x:row r="16">
      <x:c r="A16" s="25"/>
      <x:c r="B16" s="25"/>
      <x:c r="C16" s="25"/>
      <x:c r="D16" s="25"/>
      <x:c r="E16" s="25"/>
      <x:c r="F16" s="25"/>
      <x:c r="G16" s="25"/>
      <x:c r="H16" s="25"/>
      <x:c r="I16" s="25"/>
      <x:c r="J16" s="25"/>
      <x:c r="K16" s="25"/>
      <x:c r="L16" s="25"/>
      <x:c r="M16" s="25"/>
      <x:c r="N16" s="25"/>
      <x:c r="O16" s="25"/>
    </x:row>
    <x:row r="17">
      <x:c r="A17" s="25"/>
      <x:c r="B17" s="25"/>
      <x:c r="C17" s="25"/>
      <x:c r="D17" s="25"/>
      <x:c r="E17" s="25"/>
      <x:c r="F17" s="25"/>
      <x:c r="G17" s="25"/>
      <x:c r="H17" s="25"/>
      <x:c r="I17" s="25"/>
      <x:c r="J17" s="25"/>
      <x:c r="K17" s="25"/>
      <x:c r="L17" s="25"/>
      <x:c r="M17" s="25"/>
      <x:c r="N17" s="25"/>
      <x:c r="O17" s="25"/>
    </x:row>
    <x:row r="18">
      <x:c r="A18" s="25"/>
      <x:c r="B18" s="25"/>
      <x:c r="C18" s="25"/>
      <x:c r="D18" s="25"/>
      <x:c r="E18" s="25"/>
      <x:c r="F18" s="25"/>
      <x:c r="G18" s="25"/>
      <x:c r="H18" s="25"/>
      <x:c r="I18" s="25"/>
      <x:c r="J18" s="25"/>
      <x:c r="K18" s="25"/>
      <x:c r="L18" s="25"/>
      <x:c r="M18" s="25"/>
      <x:c r="N18" s="25"/>
      <x:c r="O18" s="25"/>
    </x:row>
    <x:row r="19">
      <x:c r="A19" s="25"/>
      <x:c r="B19" s="25"/>
      <x:c r="C19" s="25"/>
      <x:c r="D19" s="25"/>
      <x:c r="E19" s="25"/>
      <x:c r="F19" s="25"/>
      <x:c r="G19" s="25"/>
      <x:c r="H19" s="25"/>
      <x:c r="I19" s="25"/>
      <x:c r="J19" s="25"/>
      <x:c r="K19" s="25"/>
      <x:c r="L19" s="25"/>
      <x:c r="M19" s="25"/>
      <x:c r="N19" s="25"/>
      <x:c r="O19" s="25"/>
    </x:row>
    <x:row r="20">
      <x:c r="A20" s="25"/>
      <x:c r="B20" s="25"/>
      <x:c r="C20" s="25"/>
      <x:c r="D20" s="25"/>
      <x:c r="E20" s="25"/>
      <x:c r="F20" s="25"/>
      <x:c r="G20" s="25"/>
      <x:c r="H20" s="25"/>
      <x:c r="I20" s="25"/>
      <x:c r="J20" s="25"/>
      <x:c r="K20" s="25"/>
      <x:c r="L20" s="25"/>
      <x:c r="M20" s="25"/>
      <x:c r="N20" s="25"/>
      <x:c r="O20" s="25"/>
    </x:row>
    <x:row r="21">
      <x:c r="A21" s="25"/>
      <x:c r="B21" s="25"/>
      <x:c r="C21" s="25"/>
      <x:c r="D21" s="25"/>
      <x:c r="E21" s="25"/>
      <x:c r="F21" s="25"/>
      <x:c r="G21" s="25"/>
      <x:c r="H21" s="25"/>
      <x:c r="I21" s="25"/>
      <x:c r="J21" s="25"/>
      <x:c r="K21" s="25"/>
      <x:c r="L21" s="25"/>
      <x:c r="M21" s="25"/>
      <x:c r="N21" s="25"/>
      <x:c r="O21" s="25"/>
    </x:row>
    <x:row r="22">
      <x:c r="A22" s="25"/>
      <x:c r="B22" s="25"/>
      <x:c r="C22" s="25"/>
      <x:c r="D22" s="25"/>
      <x:c r="E22" s="25"/>
      <x:c r="F22" s="25"/>
      <x:c r="G22" s="25"/>
      <x:c r="H22" s="25"/>
      <x:c r="I22" s="25"/>
      <x:c r="J22" s="25"/>
      <x:c r="K22" s="25"/>
      <x:c r="L22" s="25"/>
      <x:c r="M22" s="25"/>
      <x:c r="N22" s="25"/>
      <x:c r="O22" s="25"/>
    </x:row>
    <x:row r="23">
      <x:c r="A23" s="25"/>
      <x:c r="B23" s="25"/>
      <x:c r="C23" s="25"/>
      <x:c r="D23" s="25"/>
      <x:c r="E23" s="25"/>
      <x:c r="F23" s="25"/>
      <x:c r="G23" s="25"/>
      <x:c r="H23" s="25"/>
      <x:c r="I23" s="25"/>
      <x:c r="J23" s="25"/>
      <x:c r="K23" s="25"/>
      <x:c r="L23" s="25"/>
      <x:c r="M23" s="25"/>
      <x:c r="N23" s="25"/>
      <x:c r="O23" s="25"/>
    </x:row>
    <x:row r="24">
      <x:c r="A24" s="25"/>
      <x:c r="B24" s="25"/>
      <x:c r="C24" s="25"/>
      <x:c r="D24" s="25"/>
      <x:c r="E24" s="25"/>
      <x:c r="F24" s="25"/>
      <x:c r="G24" s="25"/>
      <x:c r="H24" s="25"/>
      <x:c r="I24" s="25"/>
      <x:c r="J24" s="25"/>
      <x:c r="K24" s="25"/>
      <x:c r="L24" s="25"/>
      <x:c r="M24" s="25"/>
      <x:c r="N24" s="25"/>
      <x:c r="O24" s="25"/>
    </x:row>
    <x:row r="25">
      <x:c r="A25" s="25"/>
      <x:c r="B25" s="25"/>
      <x:c r="C25" s="25"/>
      <x:c r="D25" s="25"/>
      <x:c r="E25" s="25"/>
      <x:c r="F25" s="25"/>
      <x:c r="G25" s="25"/>
      <x:c r="H25" s="25"/>
      <x:c r="I25" s="25"/>
      <x:c r="J25" s="25"/>
      <x:c r="K25" s="25"/>
      <x:c r="L25" s="25"/>
      <x:c r="M25" s="25"/>
      <x:c r="N25" s="25"/>
      <x:c r="O25" s="25"/>
    </x:row>
    <x:row r="26">
      <x:c r="A26" s="25"/>
      <x:c r="B26" s="25"/>
      <x:c r="C26" s="25"/>
      <x:c r="D26" s="25"/>
      <x:c r="E26" s="25"/>
      <x:c r="F26" s="25"/>
      <x:c r="G26" s="25"/>
      <x:c r="H26" s="25"/>
      <x:c r="I26" s="25"/>
      <x:c r="J26" s="25"/>
      <x:c r="K26" s="25"/>
      <x:c r="L26" s="25"/>
      <x:c r="M26" s="25"/>
      <x:c r="N26" s="25"/>
      <x:c r="O26" s="25"/>
    </x:row>
    <x:row r="27">
      <x:c r="A27" s="25"/>
      <x:c r="B27" s="25"/>
      <x:c r="C27" s="25"/>
      <x:c r="D27" s="25"/>
      <x:c r="E27" s="25"/>
      <x:c r="F27" s="25"/>
      <x:c r="G27" s="25"/>
      <x:c r="H27" s="25"/>
      <x:c r="I27" s="25"/>
      <x:c r="J27" s="25"/>
      <x:c r="K27" s="25"/>
      <x:c r="L27" s="25"/>
      <x:c r="M27" s="25"/>
      <x:c r="N27" s="25"/>
      <x:c r="O27" s="25"/>
    </x:row>
    <x:row r="28">
      <x:c r="A28" s="25"/>
      <x:c r="B28" s="25"/>
      <x:c r="C28" s="25"/>
      <x:c r="D28" s="25"/>
      <x:c r="E28" s="25"/>
      <x:c r="F28" s="25"/>
      <x:c r="G28" s="25"/>
      <x:c r="H28" s="25"/>
      <x:c r="I28" s="25"/>
      <x:c r="J28" s="25"/>
      <x:c r="K28" s="25"/>
      <x:c r="L28" s="25"/>
      <x:c r="M28" s="25"/>
      <x:c r="N28" s="25"/>
      <x:c r="O28" s="25"/>
    </x:row>
    <x:row r="29">
      <x:c r="A29" s="25"/>
      <x:c r="B29" s="25"/>
      <x:c r="C29" s="25"/>
      <x:c r="D29" s="25"/>
      <x:c r="E29" s="25"/>
      <x:c r="F29" s="25"/>
      <x:c r="G29" s="25"/>
      <x:c r="H29" s="25"/>
      <x:c r="I29" s="25"/>
      <x:c r="J29" s="25"/>
      <x:c r="K29" s="25"/>
      <x:c r="L29" s="25"/>
      <x:c r="M29" s="25"/>
      <x:c r="N29" s="25"/>
      <x:c r="O29" s="25"/>
    </x:row>
    <x:row r="30">
      <x:c r="A30" s="25"/>
      <x:c r="B30" s="25"/>
      <x:c r="C30" s="25"/>
      <x:c r="D30" s="25"/>
      <x:c r="E30" s="25"/>
      <x:c r="F30" s="25"/>
      <x:c r="G30" s="25"/>
      <x:c r="H30" s="25"/>
      <x:c r="I30" s="25"/>
      <x:c r="J30" s="25"/>
      <x:c r="K30" s="25"/>
      <x:c r="L30" s="25"/>
      <x:c r="M30" s="25"/>
      <x:c r="N30" s="25"/>
      <x:c r="O30" s="25"/>
    </x:row>
    <x:row r="31">
      <x:c r="A31" s="25"/>
      <x:c r="B31" s="25"/>
      <x:c r="C31" s="25"/>
      <x:c r="D31" s="25"/>
      <x:c r="E31" s="25"/>
      <x:c r="F31" s="25"/>
      <x:c r="G31" s="25"/>
      <x:c r="H31" s="25"/>
      <x:c r="I31" s="25"/>
      <x:c r="J31" s="25"/>
      <x:c r="K31" s="25"/>
      <x:c r="L31" s="25"/>
      <x:c r="M31" s="25"/>
      <x:c r="N31" s="25"/>
      <x:c r="O31" s="25"/>
    </x:row>
    <x:row r="32">
      <x:c r="A32" s="25"/>
      <x:c r="B32" s="25"/>
      <x:c r="C32" s="25"/>
      <x:c r="D32" s="25"/>
      <x:c r="E32" s="25"/>
      <x:c r="F32" s="25"/>
      <x:c r="G32" s="25"/>
      <x:c r="H32" s="25"/>
      <x:c r="I32" s="25"/>
      <x:c r="J32" s="25"/>
      <x:c r="K32" s="25"/>
      <x:c r="L32" s="25"/>
      <x:c r="M32" s="25"/>
      <x:c r="N32" s="25"/>
      <x:c r="O32" s="25"/>
    </x:row>
    <x:row r="33">
      <x:c r="A33" s="25"/>
      <x:c r="B33" s="25"/>
      <x:c r="C33" s="25"/>
      <x:c r="D33" s="25"/>
      <x:c r="E33" s="25"/>
      <x:c r="F33" s="25"/>
      <x:c r="G33" s="25"/>
      <x:c r="H33" s="25"/>
      <x:c r="I33" s="25"/>
      <x:c r="J33" s="25"/>
      <x:c r="K33" s="25"/>
      <x:c r="L33" s="25"/>
      <x:c r="M33" s="25"/>
      <x:c r="N33" s="25"/>
      <x:c r="O33" s="25"/>
    </x:row>
    <x:row r="34">
      <x:c r="A34" s="25"/>
      <x:c r="B34" s="25"/>
      <x:c r="C34" s="25"/>
      <x:c r="D34" s="25"/>
      <x:c r="E34" s="25"/>
      <x:c r="F34" s="25"/>
      <x:c r="G34" s="25"/>
      <x:c r="H34" s="25"/>
      <x:c r="I34" s="25"/>
      <x:c r="J34" s="25"/>
      <x:c r="K34" s="25"/>
      <x:c r="L34" s="25"/>
      <x:c r="M34" s="25"/>
      <x:c r="N34" s="25"/>
      <x:c r="O34" s="25"/>
    </x:row>
    <x:row r="35">
      <x:c r="A35" s="25"/>
      <x:c r="B35" s="25"/>
      <x:c r="C35" s="25"/>
      <x:c r="D35" s="25"/>
      <x:c r="E35" s="25"/>
      <x:c r="F35" s="25"/>
      <x:c r="G35" s="25"/>
      <x:c r="H35" s="25"/>
      <x:c r="I35" s="25"/>
      <x:c r="J35" s="25"/>
      <x:c r="K35" s="25"/>
      <x:c r="L35" s="25"/>
      <x:c r="M35" s="25"/>
      <x:c r="N35" s="25"/>
      <x:c r="O35" s="25"/>
    </x:row>
    <x:row r="36">
      <x:c r="A36" s="25"/>
      <x:c r="B36" s="25"/>
      <x:c r="C36" s="25"/>
      <x:c r="D36" s="25"/>
      <x:c r="E36" s="25"/>
      <x:c r="F36" s="25"/>
      <x:c r="G36" s="25"/>
      <x:c r="H36" s="25"/>
      <x:c r="I36" s="25"/>
      <x:c r="J36" s="25"/>
      <x:c r="K36" s="25"/>
      <x:c r="L36" s="25"/>
      <x:c r="M36" s="25"/>
      <x:c r="N36" s="25"/>
      <x:c r="O36" s="25"/>
    </x:row>
    <x:row r="37">
      <x:c r="A37" s="25"/>
      <x:c r="B37" s="25"/>
      <x:c r="C37" s="25"/>
      <x:c r="D37" s="25"/>
      <x:c r="E37" s="25"/>
      <x:c r="F37" s="25"/>
      <x:c r="G37" s="25"/>
      <x:c r="H37" s="25"/>
      <x:c r="I37" s="25"/>
      <x:c r="J37" s="25"/>
      <x:c r="K37" s="25"/>
      <x:c r="L37" s="25"/>
      <x:c r="M37" s="25"/>
      <x:c r="N37" s="25"/>
      <x:c r="O37" s="25"/>
    </x:row>
    <x:row r="38">
      <x:c r="A38" s="25"/>
      <x:c r="B38" s="25"/>
      <x:c r="C38" s="25"/>
      <x:c r="D38" s="25"/>
      <x:c r="E38" s="25"/>
      <x:c r="F38" s="25"/>
      <x:c r="G38" s="25"/>
      <x:c r="H38" s="25"/>
      <x:c r="I38" s="25"/>
      <x:c r="J38" s="25"/>
      <x:c r="K38" s="25"/>
      <x:c r="L38" s="25"/>
      <x:c r="M38" s="25"/>
      <x:c r="N38" s="25"/>
      <x:c r="O38" s="25"/>
    </x:row>
    <x:row r="39">
      <x:c r="A39" s="25"/>
      <x:c r="B39" s="25"/>
      <x:c r="C39" s="25"/>
      <x:c r="D39" s="25"/>
      <x:c r="E39" s="25"/>
      <x:c r="F39" s="25"/>
      <x:c r="G39" s="25"/>
      <x:c r="H39" s="25"/>
      <x:c r="I39" s="25"/>
      <x:c r="J39" s="25"/>
      <x:c r="K39" s="25"/>
      <x:c r="L39" s="25"/>
      <x:c r="M39" s="25"/>
      <x:c r="N39" s="25"/>
      <x:c r="O39" s="25"/>
    </x:row>
    <x:row r="40">
      <x:c r="A40" s="25"/>
      <x:c r="B40" s="25"/>
      <x:c r="C40" s="25"/>
      <x:c r="D40" s="25"/>
      <x:c r="E40" s="25"/>
      <x:c r="F40" s="25"/>
      <x:c r="G40" s="25"/>
      <x:c r="H40" s="25"/>
      <x:c r="I40" s="25"/>
      <x:c r="J40" s="25"/>
      <x:c r="K40" s="25"/>
      <x:c r="L40" s="25"/>
      <x:c r="M40" s="25"/>
      <x:c r="N40" s="25"/>
      <x:c r="O40" s="25"/>
    </x:row>
    <x:row r="41">
      <x:c r="A41" s="25"/>
      <x:c r="B41" s="25"/>
      <x:c r="C41" s="25"/>
      <x:c r="D41" s="25"/>
      <x:c r="E41" s="25"/>
      <x:c r="F41" s="25"/>
      <x:c r="G41" s="25"/>
      <x:c r="H41" s="25"/>
      <x:c r="I41" s="25"/>
      <x:c r="J41" s="25"/>
      <x:c r="K41" s="25"/>
      <x:c r="L41" s="25"/>
      <x:c r="M41" s="25"/>
      <x:c r="N41" s="25"/>
      <x:c r="O41" s="25"/>
    </x:row>
    <x:row r="42">
      <x:c r="A42" s="25"/>
      <x:c r="B42" s="25"/>
      <x:c r="C42" s="25"/>
      <x:c r="D42" s="25"/>
      <x:c r="E42" s="25"/>
      <x:c r="F42" s="25"/>
      <x:c r="G42" s="25"/>
      <x:c r="H42" s="25"/>
      <x:c r="I42" s="25"/>
      <x:c r="J42" s="25"/>
      <x:c r="K42" s="25"/>
      <x:c r="L42" s="25"/>
      <x:c r="M42" s="25"/>
      <x:c r="N42" s="25"/>
      <x:c r="O42" s="25"/>
    </x:row>
    <x:row r="43">
      <x:c r="A43" s="25"/>
      <x:c r="B43" s="25"/>
      <x:c r="C43" s="25"/>
      <x:c r="D43" s="25"/>
      <x:c r="E43" s="25"/>
      <x:c r="F43" s="25"/>
      <x:c r="G43" s="25"/>
      <x:c r="H43" s="25"/>
      <x:c r="I43" s="25"/>
      <x:c r="J43" s="25"/>
      <x:c r="K43" s="25"/>
      <x:c r="L43" s="25"/>
      <x:c r="M43" s="25"/>
      <x:c r="N43" s="25"/>
      <x:c r="O43" s="25"/>
    </x:row>
    <x:row r="44">
      <x:c r="A44" s="25"/>
      <x:c r="B44" s="25"/>
      <x:c r="C44" s="25"/>
      <x:c r="D44" s="25"/>
      <x:c r="E44" s="25"/>
      <x:c r="F44" s="25"/>
      <x:c r="G44" s="25"/>
      <x:c r="H44" s="25"/>
      <x:c r="I44" s="25"/>
      <x:c r="J44" s="25"/>
      <x:c r="K44" s="25"/>
      <x:c r="L44" s="25"/>
      <x:c r="M44" s="25"/>
      <x:c r="N44" s="25"/>
      <x:c r="O44" s="25"/>
    </x:row>
    <x:row r="45">
      <x:c r="A45" s="25"/>
      <x:c r="B45" s="25"/>
      <x:c r="C45" s="25"/>
      <x:c r="D45" s="25"/>
      <x:c r="E45" s="25"/>
      <x:c r="F45" s="25"/>
      <x:c r="G45" s="25"/>
      <x:c r="H45" s="25"/>
      <x:c r="I45" s="25"/>
      <x:c r="J45" s="25"/>
      <x:c r="K45" s="25"/>
      <x:c r="L45" s="25"/>
      <x:c r="M45" s="25"/>
      <x:c r="N45" s="25"/>
      <x:c r="O45" s="25"/>
    </x:row>
    <x:row r="46">
      <x:c r="A46" s="25"/>
      <x:c r="B46" s="25"/>
      <x:c r="C46" s="25"/>
      <x:c r="D46" s="25"/>
      <x:c r="E46" s="25"/>
      <x:c r="F46" s="25"/>
      <x:c r="G46" s="25"/>
      <x:c r="H46" s="25"/>
      <x:c r="I46" s="25"/>
      <x:c r="J46" s="25"/>
      <x:c r="K46" s="25"/>
      <x:c r="L46" s="25"/>
      <x:c r="M46" s="25"/>
      <x:c r="N46" s="25"/>
      <x:c r="O46" s="25"/>
    </x:row>
    <x:row r="47">
      <x:c r="A47" s="25"/>
      <x:c r="B47" s="25"/>
      <x:c r="C47" s="25"/>
      <x:c r="D47" s="25"/>
      <x:c r="E47" s="25"/>
      <x:c r="F47" s="25"/>
      <x:c r="G47" s="25"/>
      <x:c r="H47" s="25"/>
      <x:c r="I47" s="25"/>
      <x:c r="J47" s="25"/>
      <x:c r="K47" s="25"/>
      <x:c r="L47" s="25"/>
      <x:c r="M47" s="25"/>
      <x:c r="N47" s="25"/>
      <x:c r="O47" s="25"/>
    </x:row>
    <x:row r="48">
      <x:c r="A48" s="25"/>
      <x:c r="B48" s="25"/>
      <x:c r="C48" s="25"/>
      <x:c r="D48" s="25"/>
      <x:c r="E48" s="25"/>
      <x:c r="F48" s="25"/>
      <x:c r="G48" s="25"/>
      <x:c r="H48" s="25"/>
      <x:c r="I48" s="25"/>
      <x:c r="J48" s="25"/>
      <x:c r="K48" s="25"/>
      <x:c r="L48" s="25"/>
      <x:c r="M48" s="25"/>
      <x:c r="N48" s="25"/>
      <x:c r="O48" s="25"/>
    </x:row>
    <x:row r="49">
      <x:c r="A49" s="25"/>
      <x:c r="B49" s="25"/>
      <x:c r="C49" s="25"/>
      <x:c r="D49" s="25"/>
      <x:c r="E49" s="25"/>
      <x:c r="F49" s="25"/>
      <x:c r="G49" s="25"/>
      <x:c r="H49" s="25"/>
      <x:c r="I49" s="25"/>
      <x:c r="J49" s="25"/>
      <x:c r="K49" s="25"/>
      <x:c r="L49" s="25"/>
      <x:c r="M49" s="25"/>
      <x:c r="N49" s="25"/>
      <x:c r="O49" s="25"/>
    </x:row>
    <x:row r="50">
      <x:c r="A50" s="25"/>
      <x:c r="B50" s="25"/>
      <x:c r="C50" s="25"/>
      <x:c r="D50" s="25"/>
      <x:c r="E50" s="25"/>
      <x:c r="F50" s="25"/>
      <x:c r="G50" s="25"/>
      <x:c r="H50" s="25"/>
      <x:c r="I50" s="25"/>
      <x:c r="J50" s="25"/>
      <x:c r="K50" s="25"/>
      <x:c r="L50" s="25"/>
      <x:c r="M50" s="25"/>
      <x:c r="N50" s="25"/>
      <x:c r="O50" s="25"/>
    </x:row>
    <x:row r="51">
      <x:c r="A51" s="25"/>
      <x:c r="B51" s="25"/>
      <x:c r="C51" s="25"/>
      <x:c r="D51" s="25"/>
      <x:c r="E51" s="25"/>
      <x:c r="F51" s="25"/>
      <x:c r="G51" s="25"/>
      <x:c r="H51" s="25"/>
      <x:c r="I51" s="25"/>
      <x:c r="J51" s="25"/>
      <x:c r="K51" s="25"/>
      <x:c r="L51" s="25"/>
      <x:c r="M51" s="25"/>
      <x:c r="N51" s="25"/>
      <x:c r="O51" s="25"/>
    </x:row>
    <x:row r="52">
      <x:c r="A52" s="25"/>
      <x:c r="B52" s="25"/>
      <x:c r="C52" s="25"/>
      <x:c r="D52" s="25"/>
      <x:c r="E52" s="25"/>
      <x:c r="F52" s="25"/>
      <x:c r="G52" s="25"/>
      <x:c r="H52" s="25"/>
      <x:c r="I52" s="25"/>
      <x:c r="J52" s="25"/>
      <x:c r="K52" s="25"/>
      <x:c r="L52" s="25"/>
      <x:c r="M52" s="25"/>
      <x:c r="N52" s="25"/>
      <x:c r="O52" s="25"/>
    </x:row>
    <x:row r="53">
      <x:c r="A53" s="25"/>
      <x:c r="B53" s="25"/>
      <x:c r="C53" s="25"/>
      <x:c r="D53" s="25"/>
      <x:c r="E53" s="25"/>
      <x:c r="F53" s="25"/>
      <x:c r="G53" s="25"/>
      <x:c r="H53" s="25"/>
      <x:c r="I53" s="25"/>
      <x:c r="J53" s="25"/>
      <x:c r="K53" s="25"/>
      <x:c r="L53" s="25"/>
      <x:c r="M53" s="25"/>
      <x:c r="N53" s="25"/>
      <x:c r="O53" s="25"/>
    </x:row>
    <x:row r="54">
      <x:c r="A54" s="25"/>
      <x:c r="B54" s="25"/>
      <x:c r="C54" s="25"/>
      <x:c r="D54" s="25"/>
      <x:c r="E54" s="25"/>
      <x:c r="F54" s="25"/>
      <x:c r="G54" s="25"/>
      <x:c r="H54" s="25"/>
      <x:c r="I54" s="25"/>
      <x:c r="J54" s="25"/>
      <x:c r="K54" s="25"/>
      <x:c r="L54" s="25"/>
      <x:c r="M54" s="25"/>
      <x:c r="N54" s="25"/>
      <x:c r="O54" s="25"/>
    </x:row>
    <x:row r="55">
      <x:c r="A55" s="25"/>
      <x:c r="B55" s="25"/>
      <x:c r="C55" s="25"/>
      <x:c r="D55" s="25"/>
      <x:c r="E55" s="25"/>
      <x:c r="F55" s="25"/>
      <x:c r="G55" s="25"/>
      <x:c r="H55" s="25"/>
      <x:c r="I55" s="25"/>
      <x:c r="J55" s="25"/>
      <x:c r="K55" s="25"/>
      <x:c r="L55" s="25"/>
      <x:c r="M55" s="25"/>
      <x:c r="N55" s="25"/>
      <x:c r="O55" s="25"/>
    </x:row>
    <x:row r="56">
      <x:c r="A56" s="25"/>
      <x:c r="B56" s="25"/>
      <x:c r="C56" s="25"/>
      <x:c r="D56" s="25"/>
      <x:c r="E56" s="25"/>
      <x:c r="F56" s="25"/>
      <x:c r="G56" s="25"/>
      <x:c r="H56" s="25"/>
      <x:c r="I56" s="25"/>
      <x:c r="J56" s="25"/>
      <x:c r="K56" s="25"/>
      <x:c r="L56" s="25"/>
      <x:c r="M56" s="25"/>
      <x:c r="N56" s="25"/>
      <x:c r="O56" s="25"/>
    </x:row>
    <x:row r="57">
      <x:c r="A57" s="25"/>
      <x:c r="B57" s="25"/>
      <x:c r="C57" s="25"/>
      <x:c r="D57" s="25"/>
      <x:c r="E57" s="25"/>
      <x:c r="F57" s="25"/>
      <x:c r="G57" s="25"/>
      <x:c r="H57" s="25"/>
      <x:c r="I57" s="25"/>
      <x:c r="J57" s="25"/>
      <x:c r="K57" s="25"/>
      <x:c r="L57" s="25"/>
      <x:c r="M57" s="25"/>
      <x:c r="N57" s="25"/>
      <x:c r="O57" s="25"/>
    </x:row>
    <x:row r="58">
      <x:c r="A58" s="25"/>
      <x:c r="B58" s="25"/>
      <x:c r="C58" s="25"/>
      <x:c r="D58" s="25"/>
      <x:c r="E58" s="25"/>
      <x:c r="F58" s="25"/>
      <x:c r="G58" s="25"/>
      <x:c r="H58" s="25"/>
      <x:c r="I58" s="25"/>
      <x:c r="J58" s="25"/>
      <x:c r="K58" s="25"/>
      <x:c r="L58" s="25"/>
      <x:c r="M58" s="25"/>
      <x:c r="N58" s="25"/>
      <x:c r="O58" s="25"/>
    </x:row>
    <x:row r="59">
      <x:c r="A59" s="25"/>
      <x:c r="B59" s="25"/>
      <x:c r="C59" s="25"/>
      <x:c r="D59" s="25"/>
      <x:c r="E59" s="25"/>
      <x:c r="F59" s="25"/>
      <x:c r="G59" s="25"/>
      <x:c r="H59" s="25"/>
      <x:c r="I59" s="25"/>
      <x:c r="J59" s="25"/>
      <x:c r="K59" s="25"/>
      <x:c r="L59" s="25"/>
      <x:c r="M59" s="25"/>
      <x:c r="N59" s="25"/>
      <x:c r="O59" s="25"/>
    </x:row>
    <x:row r="60">
      <x:c r="A60" s="25"/>
      <x:c r="B60" s="25"/>
      <x:c r="C60" s="25"/>
      <x:c r="D60" s="25"/>
      <x:c r="E60" s="25"/>
      <x:c r="F60" s="25"/>
      <x:c r="G60" s="25"/>
      <x:c r="H60" s="25"/>
      <x:c r="I60" s="25"/>
      <x:c r="J60" s="25"/>
      <x:c r="K60" s="25"/>
      <x:c r="L60" s="25"/>
      <x:c r="M60" s="25"/>
      <x:c r="N60" s="25"/>
      <x:c r="O60" s="25"/>
    </x:row>
    <x:row r="61">
      <x:c r="A61" s="25"/>
      <x:c r="B61" s="25"/>
      <x:c r="C61" s="25"/>
      <x:c r="D61" s="25"/>
      <x:c r="E61" s="25"/>
      <x:c r="F61" s="25"/>
      <x:c r="G61" s="25"/>
      <x:c r="H61" s="25"/>
      <x:c r="I61" s="25"/>
      <x:c r="J61" s="25"/>
      <x:c r="K61" s="25"/>
      <x:c r="L61" s="25"/>
      <x:c r="M61" s="25"/>
      <x:c r="N61" s="25"/>
      <x:c r="O61" s="25"/>
    </x:row>
    <x:row r="62">
      <x:c r="A62" s="25"/>
      <x:c r="B62" s="25"/>
      <x:c r="C62" s="25"/>
      <x:c r="D62" s="25"/>
      <x:c r="E62" s="25"/>
      <x:c r="F62" s="25"/>
      <x:c r="G62" s="25"/>
      <x:c r="H62" s="25"/>
      <x:c r="I62" s="25"/>
      <x:c r="J62" s="25"/>
      <x:c r="K62" s="25"/>
      <x:c r="L62" s="25"/>
      <x:c r="M62" s="25"/>
      <x:c r="N62" s="25"/>
      <x:c r="O62" s="25"/>
    </x:row>
    <x:row r="63">
      <x:c r="A63" s="25"/>
      <x:c r="B63" s="25"/>
      <x:c r="C63" s="25"/>
      <x:c r="D63" s="25"/>
      <x:c r="E63" s="25"/>
      <x:c r="F63" s="25"/>
      <x:c r="G63" s="25"/>
      <x:c r="H63" s="25"/>
      <x:c r="I63" s="25"/>
      <x:c r="J63" s="25"/>
      <x:c r="K63" s="25"/>
      <x:c r="L63" s="25"/>
      <x:c r="M63" s="25"/>
      <x:c r="N63" s="25"/>
      <x:c r="O63" s="25"/>
    </x:row>
    <x:row r="64">
      <x:c r="A64" s="25"/>
      <x:c r="B64" s="25"/>
      <x:c r="C64" s="25"/>
      <x:c r="D64" s="25"/>
      <x:c r="E64" s="25"/>
      <x:c r="F64" s="25"/>
      <x:c r="G64" s="25"/>
      <x:c r="H64" s="25"/>
      <x:c r="I64" s="25"/>
      <x:c r="J64" s="25"/>
      <x:c r="K64" s="25"/>
      <x:c r="L64" s="25"/>
      <x:c r="M64" s="25"/>
      <x:c r="N64" s="25"/>
      <x:c r="O64" s="25"/>
    </x:row>
    <x:row r="65">
      <x:c r="A65" s="25"/>
      <x:c r="B65" s="25"/>
      <x:c r="C65" s="25"/>
      <x:c r="D65" s="25"/>
      <x:c r="E65" s="25"/>
      <x:c r="F65" s="25"/>
      <x:c r="G65" s="25"/>
      <x:c r="H65" s="25"/>
      <x:c r="I65" s="25"/>
      <x:c r="J65" s="25"/>
      <x:c r="K65" s="25"/>
      <x:c r="L65" s="25"/>
      <x:c r="M65" s="25"/>
      <x:c r="N65" s="25"/>
      <x:c r="O65" s="25"/>
    </x:row>
    <x:row r="66">
      <x:c r="A66" s="25"/>
      <x:c r="B66" s="25"/>
      <x:c r="C66" s="25"/>
      <x:c r="D66" s="25"/>
      <x:c r="E66" s="25"/>
      <x:c r="F66" s="25"/>
      <x:c r="G66" s="25"/>
      <x:c r="H66" s="25"/>
      <x:c r="I66" s="25"/>
      <x:c r="J66" s="25"/>
      <x:c r="K66" s="25"/>
      <x:c r="L66" s="25"/>
      <x:c r="M66" s="25"/>
      <x:c r="N66" s="25"/>
      <x:c r="O66" s="25"/>
    </x:row>
    <x:row r="67">
      <x:c r="A67" s="25"/>
      <x:c r="B67" s="25"/>
      <x:c r="C67" s="25"/>
      <x:c r="D67" s="25"/>
      <x:c r="E67" s="25"/>
      <x:c r="F67" s="25"/>
      <x:c r="G67" s="25"/>
      <x:c r="H67" s="25"/>
      <x:c r="I67" s="25"/>
      <x:c r="J67" s="25"/>
      <x:c r="K67" s="25"/>
      <x:c r="L67" s="25"/>
      <x:c r="M67" s="25"/>
      <x:c r="N67" s="25"/>
      <x:c r="O67" s="25"/>
    </x:row>
    <x:row r="68">
      <x:c r="A68" s="25"/>
      <x:c r="B68" s="25"/>
      <x:c r="C68" s="25"/>
      <x:c r="D68" s="25"/>
      <x:c r="E68" s="25"/>
      <x:c r="F68" s="25"/>
      <x:c r="G68" s="25"/>
      <x:c r="H68" s="25"/>
      <x:c r="I68" s="25"/>
      <x:c r="J68" s="25"/>
      <x:c r="K68" s="25"/>
      <x:c r="L68" s="25"/>
      <x:c r="M68" s="25"/>
      <x:c r="N68" s="25"/>
      <x:c r="O68" s="25"/>
    </x:row>
    <x:row r="69">
      <x:c r="A69" s="25"/>
      <x:c r="B69" s="25"/>
      <x:c r="C69" s="25"/>
      <x:c r="D69" s="25"/>
      <x:c r="E69" s="25"/>
      <x:c r="F69" s="25"/>
      <x:c r="G69" s="25"/>
      <x:c r="H69" s="25"/>
      <x:c r="I69" s="25"/>
      <x:c r="J69" s="25"/>
      <x:c r="K69" s="25"/>
      <x:c r="L69" s="25"/>
      <x:c r="M69" s="25"/>
      <x:c r="N69" s="25"/>
      <x:c r="O69" s="25"/>
    </x:row>
    <x:row r="70">
      <x:c r="A70" s="25"/>
      <x:c r="B70" s="25"/>
      <x:c r="C70" s="25"/>
      <x:c r="D70" s="25"/>
      <x:c r="E70" s="25"/>
      <x:c r="F70" s="25"/>
      <x:c r="G70" s="25"/>
      <x:c r="H70" s="25"/>
      <x:c r="I70" s="25"/>
      <x:c r="J70" s="25"/>
      <x:c r="K70" s="25"/>
      <x:c r="L70" s="25"/>
      <x:c r="M70" s="25"/>
      <x:c r="N70" s="25"/>
      <x:c r="O70" s="25"/>
    </x:row>
    <x:row r="71">
      <x:c r="A71" s="25"/>
      <x:c r="B71" s="25"/>
      <x:c r="C71" s="25"/>
      <x:c r="D71" s="25"/>
      <x:c r="E71" s="25"/>
      <x:c r="F71" s="25"/>
      <x:c r="G71" s="25"/>
      <x:c r="H71" s="25"/>
      <x:c r="I71" s="25"/>
      <x:c r="J71" s="25"/>
      <x:c r="K71" s="25"/>
      <x:c r="L71" s="25"/>
      <x:c r="M71" s="25"/>
      <x:c r="N71" s="25"/>
      <x:c r="O71" s="25"/>
    </x:row>
    <x:row r="72">
      <x:c r="A72" s="25"/>
      <x:c r="B72" s="25"/>
      <x:c r="C72" s="25"/>
      <x:c r="D72" s="25"/>
      <x:c r="E72" s="25"/>
      <x:c r="F72" s="25"/>
      <x:c r="G72" s="25"/>
      <x:c r="H72" s="25"/>
      <x:c r="I72" s="25"/>
      <x:c r="J72" s="25"/>
      <x:c r="K72" s="25"/>
      <x:c r="L72" s="25"/>
      <x:c r="M72" s="25"/>
      <x:c r="N72" s="25"/>
      <x:c r="O72" s="25"/>
    </x:row>
    <x:row r="73">
      <x:c r="A73" s="25"/>
      <x:c r="B73" s="25"/>
      <x:c r="C73" s="25"/>
      <x:c r="D73" s="25"/>
      <x:c r="E73" s="25"/>
      <x:c r="F73" s="25"/>
      <x:c r="G73" s="25"/>
      <x:c r="H73" s="25"/>
      <x:c r="I73" s="25"/>
      <x:c r="J73" s="25"/>
      <x:c r="K73" s="25"/>
      <x:c r="L73" s="25"/>
      <x:c r="M73" s="25"/>
      <x:c r="N73" s="25"/>
      <x:c r="O73" s="25"/>
    </x:row>
    <x:row r="74">
      <x:c r="A74" s="25"/>
      <x:c r="B74" s="25"/>
      <x:c r="C74" s="25"/>
      <x:c r="D74" s="25"/>
      <x:c r="E74" s="25"/>
      <x:c r="F74" s="25"/>
      <x:c r="G74" s="25"/>
      <x:c r="H74" s="25"/>
      <x:c r="I74" s="25"/>
      <x:c r="J74" s="25"/>
      <x:c r="K74" s="25"/>
      <x:c r="L74" s="25"/>
      <x:c r="M74" s="25"/>
      <x:c r="N74" s="25"/>
      <x:c r="O74" s="25"/>
    </x:row>
    <x:row r="75">
      <x:c r="A75" s="25"/>
      <x:c r="B75" s="25"/>
      <x:c r="C75" s="25"/>
      <x:c r="D75" s="25"/>
      <x:c r="E75" s="25"/>
      <x:c r="F75" s="25"/>
      <x:c r="G75" s="25"/>
      <x:c r="H75" s="25"/>
      <x:c r="I75" s="25"/>
      <x:c r="J75" s="25"/>
      <x:c r="K75" s="25"/>
      <x:c r="L75" s="25"/>
      <x:c r="M75" s="25"/>
      <x:c r="N75" s="25"/>
      <x:c r="O75" s="25"/>
    </x:row>
    <x:row r="76">
      <x:c r="A76" s="25"/>
      <x:c r="B76" s="25"/>
      <x:c r="C76" s="25"/>
      <x:c r="D76" s="25"/>
      <x:c r="E76" s="25"/>
      <x:c r="F76" s="25"/>
      <x:c r="G76" s="25"/>
      <x:c r="H76" s="25"/>
      <x:c r="I76" s="25"/>
      <x:c r="J76" s="25"/>
      <x:c r="K76" s="25"/>
      <x:c r="L76" s="25"/>
      <x:c r="M76" s="25"/>
      <x:c r="N76" s="25"/>
      <x:c r="O76" s="25"/>
    </x:row>
    <x:row r="77">
      <x:c r="A77" s="25"/>
      <x:c r="B77" s="25"/>
      <x:c r="C77" s="25"/>
      <x:c r="D77" s="25"/>
      <x:c r="E77" s="25"/>
      <x:c r="F77" s="25"/>
      <x:c r="G77" s="25"/>
      <x:c r="H77" s="25"/>
      <x:c r="I77" s="25"/>
      <x:c r="J77" s="25"/>
      <x:c r="K77" s="25"/>
      <x:c r="L77" s="25"/>
      <x:c r="M77" s="25"/>
      <x:c r="N77" s="25"/>
      <x:c r="O77" s="25"/>
    </x:row>
    <x:row r="78">
      <x:c r="A78" s="25"/>
      <x:c r="B78" s="25"/>
      <x:c r="C78" s="25"/>
      <x:c r="D78" s="25"/>
      <x:c r="E78" s="25"/>
      <x:c r="F78" s="25"/>
      <x:c r="G78" s="25"/>
      <x:c r="H78" s="25"/>
      <x:c r="I78" s="25"/>
      <x:c r="J78" s="25"/>
      <x:c r="K78" s="25"/>
      <x:c r="L78" s="25"/>
      <x:c r="M78" s="25"/>
      <x:c r="N78" s="25"/>
      <x:c r="O78" s="25"/>
    </x:row>
    <x:row r="79">
      <x:c r="A79" s="25"/>
      <x:c r="B79" s="25"/>
      <x:c r="C79" s="25"/>
      <x:c r="D79" s="25"/>
      <x:c r="E79" s="25"/>
      <x:c r="F79" s="25"/>
      <x:c r="G79" s="25"/>
      <x:c r="H79" s="25"/>
      <x:c r="I79" s="25"/>
      <x:c r="J79" s="25"/>
      <x:c r="K79" s="25"/>
      <x:c r="L79" s="25"/>
      <x:c r="M79" s="25"/>
      <x:c r="N79" s="25"/>
      <x:c r="O79" s="25"/>
    </x:row>
    <x:row r="80">
      <x:c r="A80" s="25"/>
      <x:c r="B80" s="25"/>
      <x:c r="C80" s="25"/>
      <x:c r="D80" s="25"/>
      <x:c r="E80" s="25"/>
      <x:c r="F80" s="25"/>
      <x:c r="G80" s="25"/>
      <x:c r="H80" s="25"/>
      <x:c r="I80" s="25"/>
      <x:c r="J80" s="25"/>
      <x:c r="K80" s="25"/>
      <x:c r="L80" s="25"/>
      <x:c r="M80" s="25"/>
      <x:c r="N80" s="25"/>
      <x:c r="O80" s="25"/>
    </x:row>
    <x:row r="81">
      <x:c r="A81" s="25"/>
      <x:c r="B81" s="25"/>
      <x:c r="C81" s="25"/>
      <x:c r="D81" s="25"/>
      <x:c r="E81" s="25"/>
      <x:c r="F81" s="25"/>
      <x:c r="G81" s="25"/>
      <x:c r="H81" s="25"/>
      <x:c r="I81" s="25"/>
      <x:c r="J81" s="25"/>
      <x:c r="K81" s="25"/>
      <x:c r="L81" s="25"/>
      <x:c r="M81" s="25"/>
      <x:c r="N81" s="25"/>
      <x:c r="O81" s="25"/>
    </x:row>
  </x:sheetData>
  <x:dataValidations count="1">
    <x:dataValidation type="list" sqref="D6:D15">
      <x:formula1>"بانتظار الاعتماد,معتمد,مرفوض"</x:formula1>
    </x:dataValidation>
  </x:dataValidations>
  <x:pageMargins left="0.7" right="0.7" top="0.75" bottom="0.75" header="0.3" footer="0.3"/>
  <x:tableParts count="1">
    <x:tablePart r:id="R6052b0e870244359"/>
  </x:tableParts>
</x:worksheet>
</file>